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cuments\Exams folder\PROJECT\"/>
    </mc:Choice>
  </mc:AlternateContent>
  <xr:revisionPtr revIDLastSave="0" documentId="13_ncr:1_{93C7F4E1-E984-4CEE-8F5D-D32BE0B75835}" xr6:coauthVersionLast="47" xr6:coauthVersionMax="47" xr10:uidLastSave="{00000000-0000-0000-0000-000000000000}"/>
  <bookViews>
    <workbookView xWindow="-120" yWindow="-120" windowWidth="20730" windowHeight="11040" firstSheet="2" activeTab="5" xr2:uid="{00000000-000D-0000-FFFF-FFFF00000000}"/>
  </bookViews>
  <sheets>
    <sheet name="Sales Dashboard" sheetId="12" r:id="rId1"/>
    <sheet name="KPIs Summary" sheetId="13" r:id="rId2"/>
    <sheet name="Pivot Tables" sheetId="14" r:id="rId3"/>
    <sheet name="Pivot Charts" sheetId="15" r:id="rId4"/>
    <sheet name="Cleaned Data" sheetId="4" r:id="rId5"/>
    <sheet name="Nigeria Retail Sales Original" sheetId="1" r:id="rId6"/>
  </sheets>
  <definedNames>
    <definedName name="_xlnm._FilterDatabase" localSheetId="5" hidden="1">'Nigeria Retail Sales Original'!$A$1:$P$601</definedName>
    <definedName name="Slicer_Months__OrderDate2">#N/A</definedName>
    <definedName name="Slicer_NetRevenue">#N/A</definedName>
    <definedName name="Slicer_Product">#N/A</definedName>
    <definedName name="Slicer_Region">#N/A</definedName>
  </definedNames>
  <calcPr calcId="191029"/>
  <pivotCaches>
    <pivotCache cacheId="5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4" l="1"/>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Q2" i="4"/>
  <c r="R2" i="4" s="1"/>
  <c r="T2" i="4" s="1"/>
  <c r="Q3" i="4"/>
  <c r="R3" i="4" s="1"/>
  <c r="Q4" i="4"/>
  <c r="R4" i="4" s="1"/>
  <c r="Q5" i="4"/>
  <c r="R5" i="4" s="1"/>
  <c r="Q6" i="4"/>
  <c r="R6" i="4" s="1"/>
  <c r="T6" i="4" s="1"/>
  <c r="Q7" i="4"/>
  <c r="R7" i="4" s="1"/>
  <c r="Q8" i="4"/>
  <c r="R8" i="4" s="1"/>
  <c r="Q9" i="4"/>
  <c r="R9" i="4" s="1"/>
  <c r="Q10" i="4"/>
  <c r="R10" i="4" s="1"/>
  <c r="T10" i="4" s="1"/>
  <c r="Q11" i="4"/>
  <c r="R11" i="4" s="1"/>
  <c r="T11" i="4" s="1"/>
  <c r="Q12" i="4"/>
  <c r="R12" i="4" s="1"/>
  <c r="Q13" i="4"/>
  <c r="R13" i="4" s="1"/>
  <c r="Q14" i="4"/>
  <c r="R14" i="4" s="1"/>
  <c r="T14" i="4" s="1"/>
  <c r="Q15" i="4"/>
  <c r="R15" i="4" s="1"/>
  <c r="T15" i="4" s="1"/>
  <c r="Q16" i="4"/>
  <c r="R16" i="4" s="1"/>
  <c r="Q17" i="4"/>
  <c r="R17" i="4" s="1"/>
  <c r="Q18" i="4"/>
  <c r="R18" i="4" s="1"/>
  <c r="T18" i="4" s="1"/>
  <c r="Q19" i="4"/>
  <c r="R19" i="4" s="1"/>
  <c r="Q20" i="4"/>
  <c r="R20" i="4" s="1"/>
  <c r="Q21" i="4"/>
  <c r="R21" i="4" s="1"/>
  <c r="Q22" i="4"/>
  <c r="R22" i="4" s="1"/>
  <c r="T22" i="4" s="1"/>
  <c r="Q23" i="4"/>
  <c r="R23" i="4" s="1"/>
  <c r="Q24" i="4"/>
  <c r="R24" i="4" s="1"/>
  <c r="Q25" i="4"/>
  <c r="R25" i="4" s="1"/>
  <c r="Q26" i="4"/>
  <c r="R26" i="4" s="1"/>
  <c r="T26" i="4" s="1"/>
  <c r="Q27" i="4"/>
  <c r="R27" i="4" s="1"/>
  <c r="T27" i="4" s="1"/>
  <c r="Q28" i="4"/>
  <c r="R28" i="4" s="1"/>
  <c r="Q29" i="4"/>
  <c r="R29" i="4" s="1"/>
  <c r="Q30" i="4"/>
  <c r="R30" i="4" s="1"/>
  <c r="T30" i="4" s="1"/>
  <c r="Q31" i="4"/>
  <c r="R31" i="4" s="1"/>
  <c r="T31" i="4" s="1"/>
  <c r="Q32" i="4"/>
  <c r="R32" i="4" s="1"/>
  <c r="Q33" i="4"/>
  <c r="R33" i="4" s="1"/>
  <c r="Q34" i="4"/>
  <c r="R34" i="4" s="1"/>
  <c r="T34" i="4" s="1"/>
  <c r="Q35" i="4"/>
  <c r="R35" i="4" s="1"/>
  <c r="T35" i="4" s="1"/>
  <c r="Q36" i="4"/>
  <c r="R36" i="4" s="1"/>
  <c r="Q37" i="4"/>
  <c r="R37" i="4" s="1"/>
  <c r="Q38" i="4"/>
  <c r="R38" i="4" s="1"/>
  <c r="T38" i="4" s="1"/>
  <c r="Q39" i="4"/>
  <c r="R39" i="4" s="1"/>
  <c r="Q40" i="4"/>
  <c r="R40" i="4" s="1"/>
  <c r="Q41" i="4"/>
  <c r="R41" i="4" s="1"/>
  <c r="Q42" i="4"/>
  <c r="R42" i="4" s="1"/>
  <c r="T42" i="4" s="1"/>
  <c r="Q43" i="4"/>
  <c r="R43" i="4" s="1"/>
  <c r="T43" i="4" s="1"/>
  <c r="Q44" i="4"/>
  <c r="R44" i="4" s="1"/>
  <c r="Q45" i="4"/>
  <c r="R45" i="4" s="1"/>
  <c r="Q46" i="4"/>
  <c r="R46" i="4" s="1"/>
  <c r="T46" i="4" s="1"/>
  <c r="Q47" i="4"/>
  <c r="R47" i="4" s="1"/>
  <c r="Q48" i="4"/>
  <c r="R48" i="4" s="1"/>
  <c r="Q49" i="4"/>
  <c r="R49" i="4" s="1"/>
  <c r="Q50" i="4"/>
  <c r="R50" i="4" s="1"/>
  <c r="T50" i="4" s="1"/>
  <c r="Q51" i="4"/>
  <c r="R51" i="4" s="1"/>
  <c r="T51" i="4" s="1"/>
  <c r="Q52" i="4"/>
  <c r="R52" i="4" s="1"/>
  <c r="Q53" i="4"/>
  <c r="R53" i="4" s="1"/>
  <c r="Q54" i="4"/>
  <c r="R54" i="4" s="1"/>
  <c r="T54" i="4" s="1"/>
  <c r="Q55" i="4"/>
  <c r="R55" i="4" s="1"/>
  <c r="Q56" i="4"/>
  <c r="R56" i="4" s="1"/>
  <c r="Q57" i="4"/>
  <c r="R57" i="4" s="1"/>
  <c r="Q58" i="4"/>
  <c r="R58" i="4" s="1"/>
  <c r="T58" i="4" s="1"/>
  <c r="Q59" i="4"/>
  <c r="R59" i="4" s="1"/>
  <c r="T59" i="4" s="1"/>
  <c r="Q60" i="4"/>
  <c r="R60" i="4" s="1"/>
  <c r="Q61" i="4"/>
  <c r="R61" i="4" s="1"/>
  <c r="Q62" i="4"/>
  <c r="R62" i="4" s="1"/>
  <c r="T62" i="4" s="1"/>
  <c r="Q63" i="4"/>
  <c r="R63" i="4" s="1"/>
  <c r="T63" i="4" s="1"/>
  <c r="Q64" i="4"/>
  <c r="R64" i="4" s="1"/>
  <c r="Q65" i="4"/>
  <c r="R65" i="4" s="1"/>
  <c r="Q66" i="4"/>
  <c r="R66" i="4" s="1"/>
  <c r="T66" i="4" s="1"/>
  <c r="Q67" i="4"/>
  <c r="R67" i="4" s="1"/>
  <c r="Q68" i="4"/>
  <c r="R68" i="4" s="1"/>
  <c r="Q69" i="4"/>
  <c r="R69" i="4" s="1"/>
  <c r="Q70" i="4"/>
  <c r="R70" i="4" s="1"/>
  <c r="T70" i="4" s="1"/>
  <c r="Q71" i="4"/>
  <c r="R71" i="4" s="1"/>
  <c r="Q72" i="4"/>
  <c r="R72" i="4" s="1"/>
  <c r="Q73" i="4"/>
  <c r="R73" i="4" s="1"/>
  <c r="Q74" i="4"/>
  <c r="R74" i="4" s="1"/>
  <c r="T74" i="4" s="1"/>
  <c r="Q75" i="4"/>
  <c r="R75" i="4" s="1"/>
  <c r="T75" i="4" s="1"/>
  <c r="Q76" i="4"/>
  <c r="R76" i="4" s="1"/>
  <c r="Q77" i="4"/>
  <c r="R77" i="4" s="1"/>
  <c r="Q78" i="4"/>
  <c r="R78" i="4" s="1"/>
  <c r="T78" i="4" s="1"/>
  <c r="Q79" i="4"/>
  <c r="R79" i="4" s="1"/>
  <c r="T79" i="4" s="1"/>
  <c r="Q80" i="4"/>
  <c r="R80" i="4" s="1"/>
  <c r="Q81" i="4"/>
  <c r="R81" i="4" s="1"/>
  <c r="Q82" i="4"/>
  <c r="R82" i="4" s="1"/>
  <c r="T82" i="4" s="1"/>
  <c r="Q83" i="4"/>
  <c r="R83" i="4" s="1"/>
  <c r="T83" i="4" s="1"/>
  <c r="Q84" i="4"/>
  <c r="R84" i="4" s="1"/>
  <c r="Q85" i="4"/>
  <c r="R85" i="4" s="1"/>
  <c r="Q86" i="4"/>
  <c r="R86" i="4" s="1"/>
  <c r="T86" i="4" s="1"/>
  <c r="Q87" i="4"/>
  <c r="R87" i="4" s="1"/>
  <c r="Q88" i="4"/>
  <c r="R88" i="4" s="1"/>
  <c r="Q89" i="4"/>
  <c r="R89" i="4" s="1"/>
  <c r="Q90" i="4"/>
  <c r="R90" i="4" s="1"/>
  <c r="T90" i="4" s="1"/>
  <c r="Q91" i="4"/>
  <c r="R91" i="4" s="1"/>
  <c r="T91" i="4" s="1"/>
  <c r="Q92" i="4"/>
  <c r="R92" i="4" s="1"/>
  <c r="Q93" i="4"/>
  <c r="R93" i="4" s="1"/>
  <c r="Q94" i="4"/>
  <c r="R94" i="4" s="1"/>
  <c r="T94" i="4" s="1"/>
  <c r="Q95" i="4"/>
  <c r="R95" i="4" s="1"/>
  <c r="T95" i="4" s="1"/>
  <c r="Q96" i="4"/>
  <c r="R96" i="4" s="1"/>
  <c r="Q97" i="4"/>
  <c r="R97" i="4" s="1"/>
  <c r="Q98" i="4"/>
  <c r="R98" i="4" s="1"/>
  <c r="T98" i="4" s="1"/>
  <c r="Q99" i="4"/>
  <c r="R99" i="4" s="1"/>
  <c r="T99" i="4" s="1"/>
  <c r="Q100" i="4"/>
  <c r="R100" i="4" s="1"/>
  <c r="Q101" i="4"/>
  <c r="R101" i="4" s="1"/>
  <c r="Q102" i="4"/>
  <c r="R102" i="4" s="1"/>
  <c r="T102" i="4" s="1"/>
  <c r="Q103" i="4"/>
  <c r="R103" i="4" s="1"/>
  <c r="Q104" i="4"/>
  <c r="R104" i="4" s="1"/>
  <c r="Q105" i="4"/>
  <c r="R105" i="4" s="1"/>
  <c r="Q106" i="4"/>
  <c r="R106" i="4" s="1"/>
  <c r="T106" i="4" s="1"/>
  <c r="Q107" i="4"/>
  <c r="R107" i="4" s="1"/>
  <c r="T107" i="4" s="1"/>
  <c r="Q108" i="4"/>
  <c r="R108" i="4" s="1"/>
  <c r="Q109" i="4"/>
  <c r="R109" i="4" s="1"/>
  <c r="Q110" i="4"/>
  <c r="R110" i="4" s="1"/>
  <c r="T110" i="4" s="1"/>
  <c r="Q111" i="4"/>
  <c r="R111" i="4" s="1"/>
  <c r="Q112" i="4"/>
  <c r="R112" i="4" s="1"/>
  <c r="Q113" i="4"/>
  <c r="R113" i="4" s="1"/>
  <c r="Q114" i="4"/>
  <c r="R114" i="4" s="1"/>
  <c r="T114" i="4" s="1"/>
  <c r="Q115" i="4"/>
  <c r="R115" i="4" s="1"/>
  <c r="T115" i="4" s="1"/>
  <c r="Q116" i="4"/>
  <c r="R116" i="4" s="1"/>
  <c r="Q117" i="4"/>
  <c r="R117" i="4" s="1"/>
  <c r="Q118" i="4"/>
  <c r="R118" i="4" s="1"/>
  <c r="T118" i="4" s="1"/>
  <c r="Q119" i="4"/>
  <c r="R119" i="4" s="1"/>
  <c r="Q120" i="4"/>
  <c r="R120" i="4" s="1"/>
  <c r="Q121" i="4"/>
  <c r="R121" i="4" s="1"/>
  <c r="Q122" i="4"/>
  <c r="R122" i="4" s="1"/>
  <c r="T122" i="4" s="1"/>
  <c r="Q123" i="4"/>
  <c r="R123" i="4" s="1"/>
  <c r="T123" i="4" s="1"/>
  <c r="Q124" i="4"/>
  <c r="R124" i="4" s="1"/>
  <c r="Q125" i="4"/>
  <c r="R125" i="4" s="1"/>
  <c r="Q126" i="4"/>
  <c r="R126" i="4" s="1"/>
  <c r="T126" i="4" s="1"/>
  <c r="Q127" i="4"/>
  <c r="R127" i="4" s="1"/>
  <c r="T127" i="4" s="1"/>
  <c r="Q128" i="4"/>
  <c r="R128" i="4" s="1"/>
  <c r="Q129" i="4"/>
  <c r="R129" i="4" s="1"/>
  <c r="Q130" i="4"/>
  <c r="R130" i="4" s="1"/>
  <c r="T130" i="4" s="1"/>
  <c r="Q131" i="4"/>
  <c r="R131" i="4" s="1"/>
  <c r="Q132" i="4"/>
  <c r="R132" i="4" s="1"/>
  <c r="Q133" i="4"/>
  <c r="R133" i="4" s="1"/>
  <c r="Q134" i="4"/>
  <c r="R134" i="4" s="1"/>
  <c r="T134" i="4" s="1"/>
  <c r="Q135" i="4"/>
  <c r="R135" i="4" s="1"/>
  <c r="Q136" i="4"/>
  <c r="R136" i="4" s="1"/>
  <c r="Q137" i="4"/>
  <c r="R137" i="4" s="1"/>
  <c r="Q138" i="4"/>
  <c r="R138" i="4" s="1"/>
  <c r="T138" i="4" s="1"/>
  <c r="Q139" i="4"/>
  <c r="R139" i="4" s="1"/>
  <c r="T139" i="4" s="1"/>
  <c r="Q140" i="4"/>
  <c r="R140" i="4" s="1"/>
  <c r="Q141" i="4"/>
  <c r="R141" i="4" s="1"/>
  <c r="Q142" i="4"/>
  <c r="R142" i="4" s="1"/>
  <c r="T142" i="4" s="1"/>
  <c r="Q143" i="4"/>
  <c r="R143" i="4" s="1"/>
  <c r="T143" i="4" s="1"/>
  <c r="Q144" i="4"/>
  <c r="R144" i="4" s="1"/>
  <c r="Q145" i="4"/>
  <c r="R145" i="4" s="1"/>
  <c r="Q146" i="4"/>
  <c r="R146" i="4" s="1"/>
  <c r="T146" i="4" s="1"/>
  <c r="Q147" i="4"/>
  <c r="R147" i="4" s="1"/>
  <c r="T147" i="4" s="1"/>
  <c r="Q148" i="4"/>
  <c r="R148" i="4" s="1"/>
  <c r="Q149" i="4"/>
  <c r="R149" i="4" s="1"/>
  <c r="Q150" i="4"/>
  <c r="R150" i="4" s="1"/>
  <c r="T150" i="4" s="1"/>
  <c r="Q151" i="4"/>
  <c r="R151" i="4" s="1"/>
  <c r="Q152" i="4"/>
  <c r="R152" i="4" s="1"/>
  <c r="Q153" i="4"/>
  <c r="R153" i="4" s="1"/>
  <c r="Q154" i="4"/>
  <c r="R154" i="4" s="1"/>
  <c r="T154" i="4" s="1"/>
  <c r="Q155" i="4"/>
  <c r="R155" i="4" s="1"/>
  <c r="T155" i="4" s="1"/>
  <c r="Q156" i="4"/>
  <c r="R156" i="4" s="1"/>
  <c r="Q157" i="4"/>
  <c r="R157" i="4" s="1"/>
  <c r="Q158" i="4"/>
  <c r="R158" i="4" s="1"/>
  <c r="T158" i="4" s="1"/>
  <c r="Q159" i="4"/>
  <c r="R159" i="4" s="1"/>
  <c r="T159" i="4" s="1"/>
  <c r="Q160" i="4"/>
  <c r="R160" i="4" s="1"/>
  <c r="Q161" i="4"/>
  <c r="R161" i="4" s="1"/>
  <c r="Q162" i="4"/>
  <c r="R162" i="4" s="1"/>
  <c r="T162" i="4" s="1"/>
  <c r="Q163" i="4"/>
  <c r="R163" i="4" s="1"/>
  <c r="T163" i="4" s="1"/>
  <c r="Q164" i="4"/>
  <c r="R164" i="4" s="1"/>
  <c r="Q165" i="4"/>
  <c r="R165" i="4" s="1"/>
  <c r="Q166" i="4"/>
  <c r="R166" i="4" s="1"/>
  <c r="T166" i="4" s="1"/>
  <c r="Q167" i="4"/>
  <c r="R167" i="4" s="1"/>
  <c r="Q168" i="4"/>
  <c r="R168" i="4" s="1"/>
  <c r="Q169" i="4"/>
  <c r="R169" i="4" s="1"/>
  <c r="Q170" i="4"/>
  <c r="R170" i="4" s="1"/>
  <c r="T170" i="4" s="1"/>
  <c r="Q171" i="4"/>
  <c r="R171" i="4" s="1"/>
  <c r="T171" i="4" s="1"/>
  <c r="Q172" i="4"/>
  <c r="R172" i="4" s="1"/>
  <c r="Q173" i="4"/>
  <c r="R173" i="4" s="1"/>
  <c r="Q174" i="4"/>
  <c r="R174" i="4" s="1"/>
  <c r="T174" i="4" s="1"/>
  <c r="Q175" i="4"/>
  <c r="R175" i="4" s="1"/>
  <c r="Q176" i="4"/>
  <c r="R176" i="4" s="1"/>
  <c r="Q177" i="4"/>
  <c r="R177" i="4" s="1"/>
  <c r="Q178" i="4"/>
  <c r="R178" i="4" s="1"/>
  <c r="T178" i="4" s="1"/>
  <c r="Q179" i="4"/>
  <c r="R179" i="4" s="1"/>
  <c r="T179" i="4" s="1"/>
  <c r="Q180" i="4"/>
  <c r="R180" i="4" s="1"/>
  <c r="Q181" i="4"/>
  <c r="R181" i="4" s="1"/>
  <c r="Q182" i="4"/>
  <c r="R182" i="4" s="1"/>
  <c r="T182" i="4" s="1"/>
  <c r="Q183" i="4"/>
  <c r="R183" i="4" s="1"/>
  <c r="Q184" i="4"/>
  <c r="R184" i="4" s="1"/>
  <c r="Q185" i="4"/>
  <c r="R185" i="4" s="1"/>
  <c r="Q186" i="4"/>
  <c r="R186" i="4" s="1"/>
  <c r="T186" i="4" s="1"/>
  <c r="Q187" i="4"/>
  <c r="R187" i="4" s="1"/>
  <c r="T187" i="4" s="1"/>
  <c r="Q188" i="4"/>
  <c r="R188" i="4" s="1"/>
  <c r="Q189" i="4"/>
  <c r="R189" i="4" s="1"/>
  <c r="Q190" i="4"/>
  <c r="R190" i="4" s="1"/>
  <c r="T190" i="4" s="1"/>
  <c r="Q191" i="4"/>
  <c r="R191" i="4" s="1"/>
  <c r="T191" i="4" s="1"/>
  <c r="Q192" i="4"/>
  <c r="R192" i="4" s="1"/>
  <c r="Q193" i="4"/>
  <c r="R193" i="4" s="1"/>
  <c r="Q194" i="4"/>
  <c r="R194" i="4" s="1"/>
  <c r="T194" i="4" s="1"/>
  <c r="Q195" i="4"/>
  <c r="R195" i="4" s="1"/>
  <c r="Q196" i="4"/>
  <c r="R196" i="4" s="1"/>
  <c r="Q197" i="4"/>
  <c r="R197" i="4" s="1"/>
  <c r="Q198" i="4"/>
  <c r="R198" i="4" s="1"/>
  <c r="T198" i="4" s="1"/>
  <c r="Q199" i="4"/>
  <c r="R199" i="4" s="1"/>
  <c r="Q200" i="4"/>
  <c r="R200" i="4" s="1"/>
  <c r="Q201" i="4"/>
  <c r="R201" i="4" s="1"/>
  <c r="Q202" i="4"/>
  <c r="R202" i="4" s="1"/>
  <c r="T202" i="4" s="1"/>
  <c r="Q203" i="4"/>
  <c r="R203" i="4" s="1"/>
  <c r="T203" i="4" s="1"/>
  <c r="Q204" i="4"/>
  <c r="R204" i="4" s="1"/>
  <c r="Q205" i="4"/>
  <c r="R205" i="4" s="1"/>
  <c r="Q206" i="4"/>
  <c r="R206" i="4" s="1"/>
  <c r="T206" i="4" s="1"/>
  <c r="Q207" i="4"/>
  <c r="R207" i="4" s="1"/>
  <c r="T207" i="4" s="1"/>
  <c r="Q208" i="4"/>
  <c r="R208" i="4" s="1"/>
  <c r="Q209" i="4"/>
  <c r="R209" i="4" s="1"/>
  <c r="Q210" i="4"/>
  <c r="R210" i="4" s="1"/>
  <c r="T210" i="4" s="1"/>
  <c r="Q211" i="4"/>
  <c r="R211" i="4" s="1"/>
  <c r="T211" i="4" s="1"/>
  <c r="Q212" i="4"/>
  <c r="R212" i="4" s="1"/>
  <c r="Q213" i="4"/>
  <c r="R213" i="4" s="1"/>
  <c r="Q214" i="4"/>
  <c r="R214" i="4" s="1"/>
  <c r="T214" i="4" s="1"/>
  <c r="Q215" i="4"/>
  <c r="R215" i="4" s="1"/>
  <c r="Q216" i="4"/>
  <c r="R216" i="4" s="1"/>
  <c r="Q217" i="4"/>
  <c r="R217" i="4" s="1"/>
  <c r="Q218" i="4"/>
  <c r="R218" i="4" s="1"/>
  <c r="T218" i="4" s="1"/>
  <c r="Q219" i="4"/>
  <c r="R219" i="4" s="1"/>
  <c r="T219" i="4" s="1"/>
  <c r="Q220" i="4"/>
  <c r="R220" i="4" s="1"/>
  <c r="Q221" i="4"/>
  <c r="R221" i="4" s="1"/>
  <c r="Q222" i="4"/>
  <c r="R222" i="4" s="1"/>
  <c r="T222" i="4" s="1"/>
  <c r="Q223" i="4"/>
  <c r="R223" i="4" s="1"/>
  <c r="T223" i="4" s="1"/>
  <c r="Q224" i="4"/>
  <c r="R224" i="4" s="1"/>
  <c r="Q225" i="4"/>
  <c r="R225" i="4" s="1"/>
  <c r="Q226" i="4"/>
  <c r="R226" i="4" s="1"/>
  <c r="T226" i="4" s="1"/>
  <c r="Q227" i="4"/>
  <c r="R227" i="4" s="1"/>
  <c r="T227" i="4" s="1"/>
  <c r="Q228" i="4"/>
  <c r="R228" i="4" s="1"/>
  <c r="Q229" i="4"/>
  <c r="R229" i="4" s="1"/>
  <c r="Q230" i="4"/>
  <c r="R230" i="4" s="1"/>
  <c r="T230" i="4" s="1"/>
  <c r="Q231" i="4"/>
  <c r="R231" i="4" s="1"/>
  <c r="Q232" i="4"/>
  <c r="R232" i="4" s="1"/>
  <c r="Q233" i="4"/>
  <c r="R233" i="4" s="1"/>
  <c r="Q234" i="4"/>
  <c r="R234" i="4" s="1"/>
  <c r="T234" i="4" s="1"/>
  <c r="Q235" i="4"/>
  <c r="R235" i="4" s="1"/>
  <c r="T235" i="4" s="1"/>
  <c r="Q236" i="4"/>
  <c r="R236" i="4" s="1"/>
  <c r="Q237" i="4"/>
  <c r="R237" i="4" s="1"/>
  <c r="Q238" i="4"/>
  <c r="R238" i="4" s="1"/>
  <c r="T238" i="4" s="1"/>
  <c r="Q239" i="4"/>
  <c r="R239" i="4" s="1"/>
  <c r="Q240" i="4"/>
  <c r="R240" i="4" s="1"/>
  <c r="Q241" i="4"/>
  <c r="R241" i="4" s="1"/>
  <c r="Q242" i="4"/>
  <c r="R242" i="4" s="1"/>
  <c r="T242" i="4" s="1"/>
  <c r="Q243" i="4"/>
  <c r="R243" i="4" s="1"/>
  <c r="T243" i="4" s="1"/>
  <c r="Q244" i="4"/>
  <c r="R244" i="4" s="1"/>
  <c r="Q245" i="4"/>
  <c r="R245" i="4" s="1"/>
  <c r="Q246" i="4"/>
  <c r="R246" i="4" s="1"/>
  <c r="T246" i="4" s="1"/>
  <c r="Q247" i="4"/>
  <c r="R247" i="4" s="1"/>
  <c r="T247" i="4" s="1"/>
  <c r="Q248" i="4"/>
  <c r="R248" i="4" s="1"/>
  <c r="Q249" i="4"/>
  <c r="R249" i="4" s="1"/>
  <c r="Q250" i="4"/>
  <c r="R250" i="4" s="1"/>
  <c r="T250" i="4" s="1"/>
  <c r="Q251" i="4"/>
  <c r="R251" i="4" s="1"/>
  <c r="T251" i="4" s="1"/>
  <c r="Q252" i="4"/>
  <c r="R252" i="4" s="1"/>
  <c r="Q253" i="4"/>
  <c r="R253" i="4" s="1"/>
  <c r="Q254" i="4"/>
  <c r="R254" i="4" s="1"/>
  <c r="T254" i="4" s="1"/>
  <c r="Q255" i="4"/>
  <c r="R255" i="4" s="1"/>
  <c r="T255" i="4" s="1"/>
  <c r="Q256" i="4"/>
  <c r="R256" i="4" s="1"/>
  <c r="Q257" i="4"/>
  <c r="R257" i="4" s="1"/>
  <c r="Q258" i="4"/>
  <c r="R258" i="4" s="1"/>
  <c r="T258" i="4" s="1"/>
  <c r="Q259" i="4"/>
  <c r="R259" i="4" s="1"/>
  <c r="T259" i="4" s="1"/>
  <c r="Q260" i="4"/>
  <c r="R260" i="4" s="1"/>
  <c r="Q261" i="4"/>
  <c r="R261" i="4" s="1"/>
  <c r="Q262" i="4"/>
  <c r="R262" i="4" s="1"/>
  <c r="T262" i="4" s="1"/>
  <c r="Q263" i="4"/>
  <c r="R263" i="4" s="1"/>
  <c r="T263" i="4" s="1"/>
  <c r="Q264" i="4"/>
  <c r="R264" i="4" s="1"/>
  <c r="Q265" i="4"/>
  <c r="R265" i="4" s="1"/>
  <c r="Q266" i="4"/>
  <c r="R266" i="4" s="1"/>
  <c r="T266" i="4" s="1"/>
  <c r="Q267" i="4"/>
  <c r="R267" i="4" s="1"/>
  <c r="T267" i="4" s="1"/>
  <c r="Q268" i="4"/>
  <c r="R268" i="4" s="1"/>
  <c r="Q269" i="4"/>
  <c r="R269" i="4" s="1"/>
  <c r="Q270" i="4"/>
  <c r="R270" i="4" s="1"/>
  <c r="T270" i="4" s="1"/>
  <c r="Q271" i="4"/>
  <c r="R271" i="4" s="1"/>
  <c r="T271" i="4" s="1"/>
  <c r="Q272" i="4"/>
  <c r="R272" i="4" s="1"/>
  <c r="Q273" i="4"/>
  <c r="R273" i="4" s="1"/>
  <c r="Q274" i="4"/>
  <c r="R274" i="4" s="1"/>
  <c r="T274" i="4" s="1"/>
  <c r="Q275" i="4"/>
  <c r="R275" i="4" s="1"/>
  <c r="T275" i="4" s="1"/>
  <c r="Q276" i="4"/>
  <c r="R276" i="4" s="1"/>
  <c r="Q277" i="4"/>
  <c r="R277" i="4" s="1"/>
  <c r="Q278" i="4"/>
  <c r="R278" i="4" s="1"/>
  <c r="T278" i="4" s="1"/>
  <c r="Q279" i="4"/>
  <c r="R279" i="4" s="1"/>
  <c r="T279" i="4" s="1"/>
  <c r="Q280" i="4"/>
  <c r="R280" i="4" s="1"/>
  <c r="Q281" i="4"/>
  <c r="R281" i="4" s="1"/>
  <c r="Q282" i="4"/>
  <c r="R282" i="4" s="1"/>
  <c r="T282" i="4" s="1"/>
  <c r="Q283" i="4"/>
  <c r="R283" i="4" s="1"/>
  <c r="T283" i="4" s="1"/>
  <c r="Q284" i="4"/>
  <c r="R284" i="4" s="1"/>
  <c r="Q285" i="4"/>
  <c r="R285" i="4" s="1"/>
  <c r="Q286" i="4"/>
  <c r="R286" i="4" s="1"/>
  <c r="T286" i="4" s="1"/>
  <c r="Q287" i="4"/>
  <c r="R287" i="4" s="1"/>
  <c r="T287" i="4" s="1"/>
  <c r="Q288" i="4"/>
  <c r="R288" i="4" s="1"/>
  <c r="Q289" i="4"/>
  <c r="R289" i="4" s="1"/>
  <c r="Q290" i="4"/>
  <c r="R290" i="4" s="1"/>
  <c r="T290" i="4" s="1"/>
  <c r="Q291" i="4"/>
  <c r="R291" i="4" s="1"/>
  <c r="T291" i="4" s="1"/>
  <c r="Q292" i="4"/>
  <c r="R292" i="4" s="1"/>
  <c r="Q293" i="4"/>
  <c r="R293" i="4" s="1"/>
  <c r="Q294" i="4"/>
  <c r="R294" i="4" s="1"/>
  <c r="T294" i="4" s="1"/>
  <c r="Q295" i="4"/>
  <c r="R295" i="4" s="1"/>
  <c r="T295" i="4" s="1"/>
  <c r="Q296" i="4"/>
  <c r="R296" i="4" s="1"/>
  <c r="Q297" i="4"/>
  <c r="R297" i="4" s="1"/>
  <c r="Q298" i="4"/>
  <c r="R298" i="4" s="1"/>
  <c r="T298" i="4" s="1"/>
  <c r="Q299" i="4"/>
  <c r="R299" i="4" s="1"/>
  <c r="T299" i="4" s="1"/>
  <c r="Q300" i="4"/>
  <c r="R300" i="4" s="1"/>
  <c r="Q301" i="4"/>
  <c r="R301" i="4" s="1"/>
  <c r="Q302" i="4"/>
  <c r="R302" i="4" s="1"/>
  <c r="T302" i="4" s="1"/>
  <c r="Q303" i="4"/>
  <c r="R303" i="4" s="1"/>
  <c r="T303" i="4" s="1"/>
  <c r="Q304" i="4"/>
  <c r="R304" i="4" s="1"/>
  <c r="Q305" i="4"/>
  <c r="R305" i="4" s="1"/>
  <c r="Q306" i="4"/>
  <c r="R306" i="4" s="1"/>
  <c r="T306" i="4" s="1"/>
  <c r="Q307" i="4"/>
  <c r="R307" i="4" s="1"/>
  <c r="T307" i="4" s="1"/>
  <c r="Q308" i="4"/>
  <c r="R308" i="4" s="1"/>
  <c r="Q309" i="4"/>
  <c r="R309" i="4" s="1"/>
  <c r="Q310" i="4"/>
  <c r="R310" i="4" s="1"/>
  <c r="T310" i="4" s="1"/>
  <c r="Q311" i="4"/>
  <c r="R311" i="4" s="1"/>
  <c r="T311" i="4" s="1"/>
  <c r="Q312" i="4"/>
  <c r="R312" i="4" s="1"/>
  <c r="Q313" i="4"/>
  <c r="R313" i="4" s="1"/>
  <c r="Q314" i="4"/>
  <c r="R314" i="4" s="1"/>
  <c r="T314" i="4" s="1"/>
  <c r="Q315" i="4"/>
  <c r="R315" i="4" s="1"/>
  <c r="T315" i="4" s="1"/>
  <c r="Q316" i="4"/>
  <c r="R316" i="4" s="1"/>
  <c r="Q317" i="4"/>
  <c r="R317" i="4" s="1"/>
  <c r="Q318" i="4"/>
  <c r="R318" i="4" s="1"/>
  <c r="T318" i="4" s="1"/>
  <c r="Q319" i="4"/>
  <c r="R319" i="4" s="1"/>
  <c r="T319" i="4" s="1"/>
  <c r="Q320" i="4"/>
  <c r="R320" i="4" s="1"/>
  <c r="Q321" i="4"/>
  <c r="R321" i="4" s="1"/>
  <c r="Q322" i="4"/>
  <c r="R322" i="4" s="1"/>
  <c r="T322" i="4" s="1"/>
  <c r="Q323" i="4"/>
  <c r="R323" i="4" s="1"/>
  <c r="T323" i="4" s="1"/>
  <c r="Q324" i="4"/>
  <c r="R324" i="4" s="1"/>
  <c r="Q325" i="4"/>
  <c r="R325" i="4" s="1"/>
  <c r="Q326" i="4"/>
  <c r="R326" i="4" s="1"/>
  <c r="T326" i="4" s="1"/>
  <c r="Q327" i="4"/>
  <c r="R327" i="4" s="1"/>
  <c r="T327" i="4" s="1"/>
  <c r="Q328" i="4"/>
  <c r="R328" i="4" s="1"/>
  <c r="Q329" i="4"/>
  <c r="R329" i="4" s="1"/>
  <c r="Q330" i="4"/>
  <c r="R330" i="4" s="1"/>
  <c r="T330" i="4" s="1"/>
  <c r="Q331" i="4"/>
  <c r="R331" i="4" s="1"/>
  <c r="T331" i="4" s="1"/>
  <c r="Q332" i="4"/>
  <c r="R332" i="4" s="1"/>
  <c r="Q333" i="4"/>
  <c r="R333" i="4" s="1"/>
  <c r="Q334" i="4"/>
  <c r="R334" i="4" s="1"/>
  <c r="T334" i="4" s="1"/>
  <c r="Q335" i="4"/>
  <c r="R335" i="4" s="1"/>
  <c r="T335" i="4" s="1"/>
  <c r="Q336" i="4"/>
  <c r="R336" i="4" s="1"/>
  <c r="Q337" i="4"/>
  <c r="R337" i="4" s="1"/>
  <c r="Q338" i="4"/>
  <c r="R338" i="4" s="1"/>
  <c r="T338" i="4" s="1"/>
  <c r="Q339" i="4"/>
  <c r="R339" i="4" s="1"/>
  <c r="T339" i="4" s="1"/>
  <c r="Q340" i="4"/>
  <c r="R340" i="4" s="1"/>
  <c r="Q341" i="4"/>
  <c r="R341" i="4" s="1"/>
  <c r="Q342" i="4"/>
  <c r="R342" i="4" s="1"/>
  <c r="T342" i="4" s="1"/>
  <c r="Q343" i="4"/>
  <c r="R343" i="4" s="1"/>
  <c r="T343" i="4" s="1"/>
  <c r="Q344" i="4"/>
  <c r="R344" i="4" s="1"/>
  <c r="Q345" i="4"/>
  <c r="R345" i="4" s="1"/>
  <c r="Q346" i="4"/>
  <c r="R346" i="4" s="1"/>
  <c r="T346" i="4" s="1"/>
  <c r="Q347" i="4"/>
  <c r="R347" i="4" s="1"/>
  <c r="T347" i="4" s="1"/>
  <c r="Q348" i="4"/>
  <c r="R348" i="4" s="1"/>
  <c r="Q349" i="4"/>
  <c r="R349" i="4" s="1"/>
  <c r="Q350" i="4"/>
  <c r="R350" i="4" s="1"/>
  <c r="T350" i="4" s="1"/>
  <c r="Q351" i="4"/>
  <c r="R351" i="4" s="1"/>
  <c r="T351" i="4" s="1"/>
  <c r="Q352" i="4"/>
  <c r="R352" i="4" s="1"/>
  <c r="Q353" i="4"/>
  <c r="R353" i="4" s="1"/>
  <c r="Q354" i="4"/>
  <c r="R354" i="4" s="1"/>
  <c r="T354" i="4" s="1"/>
  <c r="Q355" i="4"/>
  <c r="R355" i="4" s="1"/>
  <c r="T355" i="4" s="1"/>
  <c r="Q356" i="4"/>
  <c r="R356" i="4" s="1"/>
  <c r="Q357" i="4"/>
  <c r="R357" i="4" s="1"/>
  <c r="Q358" i="4"/>
  <c r="R358" i="4" s="1"/>
  <c r="T358" i="4" s="1"/>
  <c r="Q359" i="4"/>
  <c r="R359" i="4" s="1"/>
  <c r="T359" i="4" s="1"/>
  <c r="Q360" i="4"/>
  <c r="R360" i="4" s="1"/>
  <c r="Q361" i="4"/>
  <c r="R361" i="4" s="1"/>
  <c r="Q362" i="4"/>
  <c r="R362" i="4" s="1"/>
  <c r="T362" i="4" s="1"/>
  <c r="Q363" i="4"/>
  <c r="R363" i="4" s="1"/>
  <c r="T363" i="4" s="1"/>
  <c r="Q364" i="4"/>
  <c r="R364" i="4" s="1"/>
  <c r="Q365" i="4"/>
  <c r="R365" i="4" s="1"/>
  <c r="Q366" i="4"/>
  <c r="R366" i="4" s="1"/>
  <c r="T366" i="4" s="1"/>
  <c r="Q367" i="4"/>
  <c r="R367" i="4" s="1"/>
  <c r="T367" i="4" s="1"/>
  <c r="Q368" i="4"/>
  <c r="R368" i="4" s="1"/>
  <c r="Q369" i="4"/>
  <c r="R369" i="4" s="1"/>
  <c r="Q370" i="4"/>
  <c r="R370" i="4" s="1"/>
  <c r="T370" i="4" s="1"/>
  <c r="Q371" i="4"/>
  <c r="R371" i="4" s="1"/>
  <c r="T371" i="4" s="1"/>
  <c r="Q372" i="4"/>
  <c r="R372" i="4" s="1"/>
  <c r="Q373" i="4"/>
  <c r="R373" i="4" s="1"/>
  <c r="Q374" i="4"/>
  <c r="R374" i="4" s="1"/>
  <c r="T374" i="4" s="1"/>
  <c r="Q375" i="4"/>
  <c r="R375" i="4" s="1"/>
  <c r="T375" i="4" s="1"/>
  <c r="Q376" i="4"/>
  <c r="R376" i="4" s="1"/>
  <c r="Q377" i="4"/>
  <c r="R377" i="4" s="1"/>
  <c r="Q378" i="4"/>
  <c r="R378" i="4" s="1"/>
  <c r="T378" i="4" s="1"/>
  <c r="Q379" i="4"/>
  <c r="R379" i="4" s="1"/>
  <c r="T379" i="4" s="1"/>
  <c r="Q380" i="4"/>
  <c r="R380" i="4" s="1"/>
  <c r="Q381" i="4"/>
  <c r="R381" i="4" s="1"/>
  <c r="Q382" i="4"/>
  <c r="R382" i="4" s="1"/>
  <c r="T382" i="4" s="1"/>
  <c r="Q383" i="4"/>
  <c r="R383" i="4" s="1"/>
  <c r="T383" i="4" s="1"/>
  <c r="Q384" i="4"/>
  <c r="R384" i="4" s="1"/>
  <c r="Q385" i="4"/>
  <c r="R385" i="4" s="1"/>
  <c r="Q386" i="4"/>
  <c r="R386" i="4" s="1"/>
  <c r="T386" i="4" s="1"/>
  <c r="Q387" i="4"/>
  <c r="R387" i="4" s="1"/>
  <c r="T387" i="4" s="1"/>
  <c r="Q388" i="4"/>
  <c r="R388" i="4" s="1"/>
  <c r="Q389" i="4"/>
  <c r="R389" i="4" s="1"/>
  <c r="Q390" i="4"/>
  <c r="R390" i="4" s="1"/>
  <c r="T390" i="4" s="1"/>
  <c r="Q391" i="4"/>
  <c r="R391" i="4" s="1"/>
  <c r="T391" i="4" s="1"/>
  <c r="Q392" i="4"/>
  <c r="R392" i="4" s="1"/>
  <c r="Q393" i="4"/>
  <c r="R393" i="4" s="1"/>
  <c r="Q394" i="4"/>
  <c r="R394" i="4" s="1"/>
  <c r="T394" i="4" s="1"/>
  <c r="Q395" i="4"/>
  <c r="R395" i="4" s="1"/>
  <c r="T395" i="4" s="1"/>
  <c r="Q396" i="4"/>
  <c r="R396" i="4" s="1"/>
  <c r="Q397" i="4"/>
  <c r="R397" i="4" s="1"/>
  <c r="Q398" i="4"/>
  <c r="R398" i="4" s="1"/>
  <c r="T398" i="4" s="1"/>
  <c r="Q399" i="4"/>
  <c r="R399" i="4" s="1"/>
  <c r="T399" i="4" s="1"/>
  <c r="Q400" i="4"/>
  <c r="R400" i="4" s="1"/>
  <c r="Q401" i="4"/>
  <c r="R401" i="4" s="1"/>
  <c r="Q402" i="4"/>
  <c r="R402" i="4" s="1"/>
  <c r="T402" i="4" s="1"/>
  <c r="Q403" i="4"/>
  <c r="R403" i="4" s="1"/>
  <c r="T403" i="4" s="1"/>
  <c r="Q404" i="4"/>
  <c r="R404" i="4" s="1"/>
  <c r="Q405" i="4"/>
  <c r="R405" i="4" s="1"/>
  <c r="Q406" i="4"/>
  <c r="R406" i="4" s="1"/>
  <c r="T406" i="4" s="1"/>
  <c r="Q407" i="4"/>
  <c r="R407" i="4" s="1"/>
  <c r="T407" i="4" s="1"/>
  <c r="Q408" i="4"/>
  <c r="R408" i="4" s="1"/>
  <c r="Q409" i="4"/>
  <c r="R409" i="4" s="1"/>
  <c r="Q410" i="4"/>
  <c r="R410" i="4" s="1"/>
  <c r="T410" i="4" s="1"/>
  <c r="Q411" i="4"/>
  <c r="R411" i="4" s="1"/>
  <c r="T411" i="4" s="1"/>
  <c r="Q412" i="4"/>
  <c r="R412" i="4" s="1"/>
  <c r="Q413" i="4"/>
  <c r="R413" i="4" s="1"/>
  <c r="Q414" i="4"/>
  <c r="R414" i="4" s="1"/>
  <c r="T414" i="4" s="1"/>
  <c r="Q415" i="4"/>
  <c r="R415" i="4" s="1"/>
  <c r="T415" i="4" s="1"/>
  <c r="Q416" i="4"/>
  <c r="R416" i="4" s="1"/>
  <c r="Q417" i="4"/>
  <c r="R417" i="4" s="1"/>
  <c r="Q418" i="4"/>
  <c r="R418" i="4" s="1"/>
  <c r="T418" i="4" s="1"/>
  <c r="Q419" i="4"/>
  <c r="R419" i="4" s="1"/>
  <c r="T419" i="4" s="1"/>
  <c r="Q420" i="4"/>
  <c r="R420" i="4" s="1"/>
  <c r="Q421" i="4"/>
  <c r="R421" i="4" s="1"/>
  <c r="Q422" i="4"/>
  <c r="R422" i="4" s="1"/>
  <c r="Q423" i="4"/>
  <c r="R423" i="4" s="1"/>
  <c r="T423" i="4" s="1"/>
  <c r="Q424" i="4"/>
  <c r="R424" i="4" s="1"/>
  <c r="Q425" i="4"/>
  <c r="R425" i="4" s="1"/>
  <c r="Q426" i="4"/>
  <c r="R426" i="4" s="1"/>
  <c r="T426" i="4" s="1"/>
  <c r="Q427" i="4"/>
  <c r="R427" i="4" s="1"/>
  <c r="T427" i="4" s="1"/>
  <c r="Q428" i="4"/>
  <c r="R428" i="4" s="1"/>
  <c r="Q429" i="4"/>
  <c r="R429" i="4" s="1"/>
  <c r="Q430" i="4"/>
  <c r="R430" i="4" s="1"/>
  <c r="T430" i="4" s="1"/>
  <c r="Q431" i="4"/>
  <c r="R431" i="4" s="1"/>
  <c r="T431" i="4" s="1"/>
  <c r="Q432" i="4"/>
  <c r="R432" i="4" s="1"/>
  <c r="Q433" i="4"/>
  <c r="R433" i="4" s="1"/>
  <c r="Q434" i="4"/>
  <c r="R434" i="4" s="1"/>
  <c r="T434" i="4" s="1"/>
  <c r="Q435" i="4"/>
  <c r="R435" i="4" s="1"/>
  <c r="T435" i="4" s="1"/>
  <c r="Q436" i="4"/>
  <c r="R436" i="4" s="1"/>
  <c r="Q437" i="4"/>
  <c r="R437" i="4" s="1"/>
  <c r="Q438" i="4"/>
  <c r="R438" i="4" s="1"/>
  <c r="T438" i="4" s="1"/>
  <c r="Q439" i="4"/>
  <c r="R439" i="4" s="1"/>
  <c r="T439" i="4" s="1"/>
  <c r="Q440" i="4"/>
  <c r="R440" i="4" s="1"/>
  <c r="Q441" i="4"/>
  <c r="R441" i="4" s="1"/>
  <c r="Q442" i="4"/>
  <c r="R442" i="4" s="1"/>
  <c r="T442" i="4" s="1"/>
  <c r="Q443" i="4"/>
  <c r="R443" i="4" s="1"/>
  <c r="T443" i="4" s="1"/>
  <c r="Q444" i="4"/>
  <c r="R444" i="4" s="1"/>
  <c r="Q445" i="4"/>
  <c r="R445" i="4" s="1"/>
  <c r="Q446" i="4"/>
  <c r="R446" i="4" s="1"/>
  <c r="T446" i="4" s="1"/>
  <c r="Q447" i="4"/>
  <c r="R447" i="4" s="1"/>
  <c r="T447" i="4" s="1"/>
  <c r="Q448" i="4"/>
  <c r="R448" i="4" s="1"/>
  <c r="Q449" i="4"/>
  <c r="R449" i="4" s="1"/>
  <c r="Q450" i="4"/>
  <c r="R450" i="4" s="1"/>
  <c r="T450" i="4" s="1"/>
  <c r="Q451" i="4"/>
  <c r="R451" i="4" s="1"/>
  <c r="T451" i="4" s="1"/>
  <c r="Q452" i="4"/>
  <c r="R452" i="4" s="1"/>
  <c r="Q453" i="4"/>
  <c r="R453" i="4" s="1"/>
  <c r="Q454" i="4"/>
  <c r="R454" i="4" s="1"/>
  <c r="T454" i="4" s="1"/>
  <c r="Q455" i="4"/>
  <c r="R455" i="4" s="1"/>
  <c r="T455" i="4" s="1"/>
  <c r="Q456" i="4"/>
  <c r="R456" i="4" s="1"/>
  <c r="Q457" i="4"/>
  <c r="R457" i="4" s="1"/>
  <c r="Q458" i="4"/>
  <c r="R458" i="4" s="1"/>
  <c r="T458" i="4" s="1"/>
  <c r="Q459" i="4"/>
  <c r="R459" i="4" s="1"/>
  <c r="T459" i="4" s="1"/>
  <c r="Q460" i="4"/>
  <c r="R460" i="4" s="1"/>
  <c r="Q461" i="4"/>
  <c r="R461" i="4" s="1"/>
  <c r="Q462" i="4"/>
  <c r="R462" i="4" s="1"/>
  <c r="T462" i="4" s="1"/>
  <c r="Q463" i="4"/>
  <c r="R463" i="4" s="1"/>
  <c r="T463" i="4" s="1"/>
  <c r="Q464" i="4"/>
  <c r="R464" i="4" s="1"/>
  <c r="Q465" i="4"/>
  <c r="R465" i="4" s="1"/>
  <c r="Q466" i="4"/>
  <c r="R466" i="4" s="1"/>
  <c r="T466" i="4" s="1"/>
  <c r="Q467" i="4"/>
  <c r="R467" i="4" s="1"/>
  <c r="T467" i="4" s="1"/>
  <c r="Q468" i="4"/>
  <c r="R468" i="4" s="1"/>
  <c r="Q469" i="4"/>
  <c r="R469" i="4" s="1"/>
  <c r="Q470" i="4"/>
  <c r="R470" i="4" s="1"/>
  <c r="T470" i="4" s="1"/>
  <c r="Q471" i="4"/>
  <c r="R471" i="4" s="1"/>
  <c r="T471" i="4" s="1"/>
  <c r="Q472" i="4"/>
  <c r="R472" i="4" s="1"/>
  <c r="Q473" i="4"/>
  <c r="R473" i="4" s="1"/>
  <c r="Q474" i="4"/>
  <c r="R474" i="4" s="1"/>
  <c r="T474" i="4" s="1"/>
  <c r="Q475" i="4"/>
  <c r="R475" i="4" s="1"/>
  <c r="T475" i="4" s="1"/>
  <c r="Q476" i="4"/>
  <c r="R476" i="4" s="1"/>
  <c r="Q477" i="4"/>
  <c r="R477" i="4" s="1"/>
  <c r="Q478" i="4"/>
  <c r="R478" i="4" s="1"/>
  <c r="T478" i="4" s="1"/>
  <c r="Q479" i="4"/>
  <c r="R479" i="4" s="1"/>
  <c r="T479" i="4" s="1"/>
  <c r="Q480" i="4"/>
  <c r="R480" i="4" s="1"/>
  <c r="Q481" i="4"/>
  <c r="R481" i="4" s="1"/>
  <c r="Q482" i="4"/>
  <c r="R482" i="4" s="1"/>
  <c r="T482" i="4" s="1"/>
  <c r="Q483" i="4"/>
  <c r="R483" i="4" s="1"/>
  <c r="T483" i="4" s="1"/>
  <c r="Q484" i="4"/>
  <c r="R484" i="4" s="1"/>
  <c r="Q485" i="4"/>
  <c r="R485" i="4" s="1"/>
  <c r="Q486" i="4"/>
  <c r="R486" i="4" s="1"/>
  <c r="T486" i="4" s="1"/>
  <c r="Q487" i="4"/>
  <c r="R487" i="4" s="1"/>
  <c r="T487" i="4" s="1"/>
  <c r="Q488" i="4"/>
  <c r="R488" i="4" s="1"/>
  <c r="Q489" i="4"/>
  <c r="R489" i="4" s="1"/>
  <c r="Q490" i="4"/>
  <c r="R490" i="4" s="1"/>
  <c r="T490" i="4" s="1"/>
  <c r="Q491" i="4"/>
  <c r="R491" i="4" s="1"/>
  <c r="T491" i="4" s="1"/>
  <c r="Q492" i="4"/>
  <c r="R492" i="4" s="1"/>
  <c r="Q493" i="4"/>
  <c r="R493" i="4" s="1"/>
  <c r="Q494" i="4"/>
  <c r="R494" i="4" s="1"/>
  <c r="T494" i="4" s="1"/>
  <c r="Q495" i="4"/>
  <c r="R495" i="4" s="1"/>
  <c r="T495" i="4" s="1"/>
  <c r="Q496" i="4"/>
  <c r="R496" i="4" s="1"/>
  <c r="Q497" i="4"/>
  <c r="R497" i="4" s="1"/>
  <c r="Q498" i="4"/>
  <c r="R498" i="4" s="1"/>
  <c r="T498" i="4" s="1"/>
  <c r="Q499" i="4"/>
  <c r="R499" i="4" s="1"/>
  <c r="T499" i="4" s="1"/>
  <c r="Q500" i="4"/>
  <c r="R500" i="4" s="1"/>
  <c r="Q501" i="4"/>
  <c r="R501" i="4" s="1"/>
  <c r="Q502" i="4"/>
  <c r="R502" i="4" s="1"/>
  <c r="T502" i="4" s="1"/>
  <c r="Q503" i="4"/>
  <c r="R503" i="4" s="1"/>
  <c r="T503" i="4" s="1"/>
  <c r="Q504" i="4"/>
  <c r="R504" i="4" s="1"/>
  <c r="Q505" i="4"/>
  <c r="R505" i="4" s="1"/>
  <c r="Q506" i="4"/>
  <c r="R506" i="4" s="1"/>
  <c r="T506" i="4" s="1"/>
  <c r="Q507" i="4"/>
  <c r="R507" i="4" s="1"/>
  <c r="T507" i="4" s="1"/>
  <c r="Q508" i="4"/>
  <c r="R508" i="4" s="1"/>
  <c r="Q509" i="4"/>
  <c r="R509" i="4" s="1"/>
  <c r="Q510" i="4"/>
  <c r="R510" i="4" s="1"/>
  <c r="T510" i="4" s="1"/>
  <c r="Q511" i="4"/>
  <c r="R511" i="4" s="1"/>
  <c r="T511" i="4" s="1"/>
  <c r="Q512" i="4"/>
  <c r="R512" i="4" s="1"/>
  <c r="Q513" i="4"/>
  <c r="R513" i="4" s="1"/>
  <c r="Q514" i="4"/>
  <c r="R514" i="4" s="1"/>
  <c r="T514" i="4" s="1"/>
  <c r="Q515" i="4"/>
  <c r="R515" i="4" s="1"/>
  <c r="T515" i="4" s="1"/>
  <c r="Q516" i="4"/>
  <c r="R516" i="4" s="1"/>
  <c r="Q517" i="4"/>
  <c r="R517" i="4" s="1"/>
  <c r="Q518" i="4"/>
  <c r="R518" i="4" s="1"/>
  <c r="T518" i="4" s="1"/>
  <c r="Q519" i="4"/>
  <c r="R519" i="4" s="1"/>
  <c r="T519" i="4" s="1"/>
  <c r="Q520" i="4"/>
  <c r="R520" i="4" s="1"/>
  <c r="Q521" i="4"/>
  <c r="R521" i="4" s="1"/>
  <c r="Q522" i="4"/>
  <c r="R522" i="4" s="1"/>
  <c r="T522" i="4" s="1"/>
  <c r="Q523" i="4"/>
  <c r="R523" i="4" s="1"/>
  <c r="T523" i="4" s="1"/>
  <c r="Q524" i="4"/>
  <c r="R524" i="4" s="1"/>
  <c r="Q525" i="4"/>
  <c r="R525" i="4" s="1"/>
  <c r="Q526" i="4"/>
  <c r="R526" i="4" s="1"/>
  <c r="T526" i="4" s="1"/>
  <c r="Q527" i="4"/>
  <c r="R527" i="4" s="1"/>
  <c r="T527" i="4" s="1"/>
  <c r="Q528" i="4"/>
  <c r="R528" i="4" s="1"/>
  <c r="Q529" i="4"/>
  <c r="R529" i="4" s="1"/>
  <c r="Q530" i="4"/>
  <c r="R530" i="4" s="1"/>
  <c r="T530" i="4" s="1"/>
  <c r="Q531" i="4"/>
  <c r="R531" i="4" s="1"/>
  <c r="T531" i="4" s="1"/>
  <c r="Q532" i="4"/>
  <c r="R532" i="4" s="1"/>
  <c r="Q533" i="4"/>
  <c r="R533" i="4" s="1"/>
  <c r="Q534" i="4"/>
  <c r="R534" i="4" s="1"/>
  <c r="T534" i="4" s="1"/>
  <c r="Q535" i="4"/>
  <c r="R535" i="4" s="1"/>
  <c r="T535" i="4" s="1"/>
  <c r="Q536" i="4"/>
  <c r="R536" i="4" s="1"/>
  <c r="Q537" i="4"/>
  <c r="R537" i="4" s="1"/>
  <c r="Q538" i="4"/>
  <c r="R538" i="4" s="1"/>
  <c r="T538" i="4" s="1"/>
  <c r="Q539" i="4"/>
  <c r="R539" i="4" s="1"/>
  <c r="T539" i="4" s="1"/>
  <c r="Q540" i="4"/>
  <c r="R540" i="4" s="1"/>
  <c r="Q541" i="4"/>
  <c r="R541" i="4" s="1"/>
  <c r="Q542" i="4"/>
  <c r="R542" i="4" s="1"/>
  <c r="T542" i="4" s="1"/>
  <c r="Q543" i="4"/>
  <c r="R543" i="4" s="1"/>
  <c r="T543" i="4" s="1"/>
  <c r="Q544" i="4"/>
  <c r="R544" i="4" s="1"/>
  <c r="Q545" i="4"/>
  <c r="R545" i="4" s="1"/>
  <c r="Q546" i="4"/>
  <c r="R546" i="4" s="1"/>
  <c r="T546" i="4" s="1"/>
  <c r="Q547" i="4"/>
  <c r="R547" i="4" s="1"/>
  <c r="T547" i="4" s="1"/>
  <c r="Q548" i="4"/>
  <c r="R548" i="4" s="1"/>
  <c r="Q549" i="4"/>
  <c r="R549" i="4" s="1"/>
  <c r="Q550" i="4"/>
  <c r="R550" i="4" s="1"/>
  <c r="T550" i="4" s="1"/>
  <c r="Q551" i="4"/>
  <c r="R551" i="4" s="1"/>
  <c r="T551" i="4" s="1"/>
  <c r="Q552" i="4"/>
  <c r="R552" i="4" s="1"/>
  <c r="Q553" i="4"/>
  <c r="R553" i="4" s="1"/>
  <c r="Q554" i="4"/>
  <c r="R554" i="4" s="1"/>
  <c r="T554" i="4" s="1"/>
  <c r="Q555" i="4"/>
  <c r="R555" i="4" s="1"/>
  <c r="T555" i="4" s="1"/>
  <c r="Q556" i="4"/>
  <c r="R556" i="4" s="1"/>
  <c r="Q557" i="4"/>
  <c r="R557" i="4" s="1"/>
  <c r="Q558" i="4"/>
  <c r="R558" i="4" s="1"/>
  <c r="T558" i="4" s="1"/>
  <c r="Q559" i="4"/>
  <c r="R559" i="4" s="1"/>
  <c r="T559" i="4" s="1"/>
  <c r="Q560" i="4"/>
  <c r="R560" i="4" s="1"/>
  <c r="Q561" i="4"/>
  <c r="R561" i="4" s="1"/>
  <c r="Q562" i="4"/>
  <c r="R562" i="4" s="1"/>
  <c r="T562" i="4" s="1"/>
  <c r="Q563" i="4"/>
  <c r="R563" i="4" s="1"/>
  <c r="T563" i="4" s="1"/>
  <c r="Q564" i="4"/>
  <c r="R564" i="4" s="1"/>
  <c r="Q565" i="4"/>
  <c r="R565" i="4" s="1"/>
  <c r="Q566" i="4"/>
  <c r="R566" i="4" s="1"/>
  <c r="T566" i="4" s="1"/>
  <c r="Q567" i="4"/>
  <c r="R567" i="4" s="1"/>
  <c r="T567" i="4" s="1"/>
  <c r="Q568" i="4"/>
  <c r="R568" i="4" s="1"/>
  <c r="Q569" i="4"/>
  <c r="R569" i="4" s="1"/>
  <c r="Q570" i="4"/>
  <c r="R570" i="4" s="1"/>
  <c r="T570" i="4" s="1"/>
  <c r="Q571" i="4"/>
  <c r="R571" i="4" s="1"/>
  <c r="T571" i="4" s="1"/>
  <c r="Q572" i="4"/>
  <c r="R572" i="4" s="1"/>
  <c r="Q573" i="4"/>
  <c r="R573" i="4" s="1"/>
  <c r="Q574" i="4"/>
  <c r="R574" i="4" s="1"/>
  <c r="T574" i="4" s="1"/>
  <c r="Q575" i="4"/>
  <c r="R575" i="4" s="1"/>
  <c r="T575" i="4" s="1"/>
  <c r="Q576" i="4"/>
  <c r="R576" i="4" s="1"/>
  <c r="Q577" i="4"/>
  <c r="R577" i="4" s="1"/>
  <c r="Q578" i="4"/>
  <c r="R578" i="4" s="1"/>
  <c r="T578" i="4" s="1"/>
  <c r="Q579" i="4"/>
  <c r="R579" i="4" s="1"/>
  <c r="T579" i="4" s="1"/>
  <c r="Q580" i="4"/>
  <c r="R580" i="4" s="1"/>
  <c r="Q581" i="4"/>
  <c r="R581" i="4" s="1"/>
  <c r="Q582" i="4"/>
  <c r="R582" i="4" s="1"/>
  <c r="T582" i="4" s="1"/>
  <c r="Q583" i="4"/>
  <c r="R583" i="4" s="1"/>
  <c r="T583" i="4" s="1"/>
  <c r="Q584" i="4"/>
  <c r="R584" i="4" s="1"/>
  <c r="Q585" i="4"/>
  <c r="R585" i="4" s="1"/>
  <c r="Q586" i="4"/>
  <c r="R586" i="4" s="1"/>
  <c r="T586" i="4" s="1"/>
  <c r="Q587" i="4"/>
  <c r="R587" i="4" s="1"/>
  <c r="T587" i="4" s="1"/>
  <c r="Q588" i="4"/>
  <c r="R588" i="4" s="1"/>
  <c r="Q589" i="4"/>
  <c r="R589" i="4" s="1"/>
  <c r="Q590" i="4"/>
  <c r="R590" i="4" s="1"/>
  <c r="T590" i="4" s="1"/>
  <c r="Q591" i="4"/>
  <c r="R591" i="4" s="1"/>
  <c r="T591" i="4" s="1"/>
  <c r="Q592" i="4"/>
  <c r="R592" i="4" s="1"/>
  <c r="Q593" i="4"/>
  <c r="R593" i="4" s="1"/>
  <c r="Q594" i="4"/>
  <c r="R594" i="4" s="1"/>
  <c r="T594" i="4" s="1"/>
  <c r="Q595" i="4"/>
  <c r="R595" i="4" s="1"/>
  <c r="T595" i="4" s="1"/>
  <c r="Q596" i="4"/>
  <c r="R596" i="4" s="1"/>
  <c r="Q597" i="4"/>
  <c r="R597" i="4" s="1"/>
  <c r="Q598" i="4"/>
  <c r="R598" i="4" s="1"/>
  <c r="T598" i="4" s="1"/>
  <c r="Q599" i="4"/>
  <c r="R599" i="4" s="1"/>
  <c r="T599" i="4" s="1"/>
  <c r="Q600" i="4"/>
  <c r="R600" i="4" s="1"/>
  <c r="Q601" i="4"/>
  <c r="R601" i="4" s="1"/>
  <c r="T422" i="4" l="1"/>
  <c r="T19" i="4"/>
  <c r="T601" i="4"/>
  <c r="T597" i="4"/>
  <c r="T593" i="4"/>
  <c r="T589" i="4"/>
  <c r="T585" i="4"/>
  <c r="T581" i="4"/>
  <c r="T577" i="4"/>
  <c r="T573" i="4"/>
  <c r="T569" i="4"/>
  <c r="T565" i="4"/>
  <c r="T561" i="4"/>
  <c r="T557" i="4"/>
  <c r="T553" i="4"/>
  <c r="T549" i="4"/>
  <c r="T545" i="4"/>
  <c r="T541" i="4"/>
  <c r="T537" i="4"/>
  <c r="T533" i="4"/>
  <c r="T529" i="4"/>
  <c r="T525" i="4"/>
  <c r="T521" i="4"/>
  <c r="T517" i="4"/>
  <c r="T513" i="4"/>
  <c r="T509" i="4"/>
  <c r="T505" i="4"/>
  <c r="T501" i="4"/>
  <c r="T497" i="4"/>
  <c r="T493" i="4"/>
  <c r="T489" i="4"/>
  <c r="T485" i="4"/>
  <c r="T481" i="4"/>
  <c r="T477" i="4"/>
  <c r="T473" i="4"/>
  <c r="T469" i="4"/>
  <c r="T465" i="4"/>
  <c r="T461" i="4"/>
  <c r="T457" i="4"/>
  <c r="T453" i="4"/>
  <c r="T449" i="4"/>
  <c r="T445" i="4"/>
  <c r="T441" i="4"/>
  <c r="T437" i="4"/>
  <c r="T433" i="4"/>
  <c r="T429" i="4"/>
  <c r="T425" i="4"/>
  <c r="T421" i="4"/>
  <c r="T417" i="4"/>
  <c r="T413" i="4"/>
  <c r="T409" i="4"/>
  <c r="T405" i="4"/>
  <c r="T401" i="4"/>
  <c r="T397" i="4"/>
  <c r="T393" i="4"/>
  <c r="T389" i="4"/>
  <c r="T385" i="4"/>
  <c r="T381" i="4"/>
  <c r="T377" i="4"/>
  <c r="T373" i="4"/>
  <c r="T369" i="4"/>
  <c r="T365" i="4"/>
  <c r="T361" i="4"/>
  <c r="T357" i="4"/>
  <c r="T353" i="4"/>
  <c r="T349" i="4"/>
  <c r="T345" i="4"/>
  <c r="T341" i="4"/>
  <c r="T289" i="4"/>
  <c r="T337" i="4"/>
  <c r="T333" i="4"/>
  <c r="T329" i="4"/>
  <c r="T325" i="4"/>
  <c r="T321" i="4"/>
  <c r="T317" i="4"/>
  <c r="T313" i="4"/>
  <c r="T309" i="4"/>
  <c r="T305" i="4"/>
  <c r="T301" i="4"/>
  <c r="T297" i="4"/>
  <c r="T293" i="4"/>
  <c r="T285" i="4"/>
  <c r="T281" i="4"/>
  <c r="T277" i="4"/>
  <c r="T273" i="4"/>
  <c r="T269" i="4"/>
  <c r="T265" i="4"/>
  <c r="T261" i="4"/>
  <c r="T257" i="4"/>
  <c r="T253" i="4"/>
  <c r="T249" i="4"/>
  <c r="T245" i="4"/>
  <c r="T241" i="4"/>
  <c r="T237" i="4"/>
  <c r="T233" i="4"/>
  <c r="T229" i="4"/>
  <c r="T225" i="4"/>
  <c r="T221" i="4"/>
  <c r="T217" i="4"/>
  <c r="T213" i="4"/>
  <c r="T209" i="4"/>
  <c r="T205" i="4"/>
  <c r="T201" i="4"/>
  <c r="T197" i="4"/>
  <c r="T193" i="4"/>
  <c r="T189" i="4"/>
  <c r="T185" i="4"/>
  <c r="T181" i="4"/>
  <c r="T177" i="4"/>
  <c r="T173" i="4"/>
  <c r="T169" i="4"/>
  <c r="T165" i="4"/>
  <c r="T161" i="4"/>
  <c r="T157" i="4"/>
  <c r="T153" i="4"/>
  <c r="T149" i="4"/>
  <c r="T145" i="4"/>
  <c r="T141" i="4"/>
  <c r="T137" i="4"/>
  <c r="T133" i="4"/>
  <c r="T129" i="4"/>
  <c r="T125" i="4"/>
  <c r="T121" i="4"/>
  <c r="T117" i="4"/>
  <c r="T113" i="4"/>
  <c r="T109" i="4"/>
  <c r="T105" i="4"/>
  <c r="T101" i="4"/>
  <c r="T97" i="4"/>
  <c r="T93" i="4"/>
  <c r="T89" i="4"/>
  <c r="T85" i="4"/>
  <c r="T81" i="4"/>
  <c r="T77" i="4"/>
  <c r="T73" i="4"/>
  <c r="T69" i="4"/>
  <c r="T65" i="4"/>
  <c r="T61" i="4"/>
  <c r="T57" i="4"/>
  <c r="T53" i="4"/>
  <c r="T49" i="4"/>
  <c r="T45" i="4"/>
  <c r="T41" i="4"/>
  <c r="T37" i="4"/>
  <c r="T33" i="4"/>
  <c r="T29" i="4"/>
  <c r="T25" i="4"/>
  <c r="T21" i="4"/>
  <c r="T17" i="4"/>
  <c r="T13" i="4"/>
  <c r="T9" i="4"/>
  <c r="T5" i="4"/>
  <c r="T600" i="4"/>
  <c r="T596" i="4"/>
  <c r="T592" i="4"/>
  <c r="T588" i="4"/>
  <c r="T584" i="4"/>
  <c r="T580" i="4"/>
  <c r="T576" i="4"/>
  <c r="T572" i="4"/>
  <c r="T568" i="4"/>
  <c r="T564" i="4"/>
  <c r="T560" i="4"/>
  <c r="T556" i="4"/>
  <c r="T552" i="4"/>
  <c r="T548" i="4"/>
  <c r="T544" i="4"/>
  <c r="T540" i="4"/>
  <c r="T536" i="4"/>
  <c r="T532" i="4"/>
  <c r="T528" i="4"/>
  <c r="T524" i="4"/>
  <c r="T520" i="4"/>
  <c r="T516" i="4"/>
  <c r="T512" i="4"/>
  <c r="T508" i="4"/>
  <c r="T504" i="4"/>
  <c r="T500" i="4"/>
  <c r="T496" i="4"/>
  <c r="T492" i="4"/>
  <c r="T488" i="4"/>
  <c r="T484" i="4"/>
  <c r="T480" i="4"/>
  <c r="T476" i="4"/>
  <c r="T472" i="4"/>
  <c r="T468" i="4"/>
  <c r="T464" i="4"/>
  <c r="T460" i="4"/>
  <c r="T456" i="4"/>
  <c r="T452" i="4"/>
  <c r="T448" i="4"/>
  <c r="T444" i="4"/>
  <c r="T440" i="4"/>
  <c r="T436" i="4"/>
  <c r="T432" i="4"/>
  <c r="T428" i="4"/>
  <c r="T424" i="4"/>
  <c r="T420" i="4"/>
  <c r="T416" i="4"/>
  <c r="T412" i="4"/>
  <c r="T408" i="4"/>
  <c r="T404" i="4"/>
  <c r="T400" i="4"/>
  <c r="T396" i="4"/>
  <c r="T392" i="4"/>
  <c r="T388" i="4"/>
  <c r="T384" i="4"/>
  <c r="T380" i="4"/>
  <c r="T376" i="4"/>
  <c r="T372" i="4"/>
  <c r="T368" i="4"/>
  <c r="T364" i="4"/>
  <c r="T360" i="4"/>
  <c r="T356" i="4"/>
  <c r="T352" i="4"/>
  <c r="T348" i="4"/>
  <c r="T344" i="4"/>
  <c r="T340" i="4"/>
  <c r="T336" i="4"/>
  <c r="T332" i="4"/>
  <c r="T328" i="4"/>
  <c r="T324" i="4"/>
  <c r="T320" i="4"/>
  <c r="T316" i="4"/>
  <c r="T312" i="4"/>
  <c r="T308" i="4"/>
  <c r="T304" i="4"/>
  <c r="T300" i="4"/>
  <c r="T296" i="4"/>
  <c r="T292" i="4"/>
  <c r="T288" i="4"/>
  <c r="T284" i="4"/>
  <c r="T280" i="4"/>
  <c r="T276" i="4"/>
  <c r="T272" i="4"/>
  <c r="T268" i="4"/>
  <c r="T264" i="4"/>
  <c r="T260" i="4"/>
  <c r="T256" i="4"/>
  <c r="T252" i="4"/>
  <c r="T248" i="4"/>
  <c r="T244" i="4"/>
  <c r="T240" i="4"/>
  <c r="T236" i="4"/>
  <c r="T232" i="4"/>
  <c r="T228" i="4"/>
  <c r="T224" i="4"/>
  <c r="T220" i="4"/>
  <c r="T216" i="4"/>
  <c r="T212" i="4"/>
  <c r="T208" i="4"/>
  <c r="T204" i="4"/>
  <c r="T200" i="4"/>
  <c r="T196" i="4"/>
  <c r="T192" i="4"/>
  <c r="T188" i="4"/>
  <c r="T184" i="4"/>
  <c r="T180" i="4"/>
  <c r="T176" i="4"/>
  <c r="T172" i="4"/>
  <c r="T168" i="4"/>
  <c r="T164" i="4"/>
  <c r="T160" i="4"/>
  <c r="T156" i="4"/>
  <c r="T152" i="4"/>
  <c r="T148" i="4"/>
  <c r="T144" i="4"/>
  <c r="T140" i="4"/>
  <c r="T136" i="4"/>
  <c r="T132" i="4"/>
  <c r="T128" i="4"/>
  <c r="T124" i="4"/>
  <c r="T120" i="4"/>
  <c r="T116" i="4"/>
  <c r="T112" i="4"/>
  <c r="T108" i="4"/>
  <c r="T104" i="4"/>
  <c r="T100" i="4"/>
  <c r="T96" i="4"/>
  <c r="T92" i="4"/>
  <c r="T88" i="4"/>
  <c r="T84" i="4"/>
  <c r="T80" i="4"/>
  <c r="T76" i="4"/>
  <c r="T72" i="4"/>
  <c r="T68" i="4"/>
  <c r="T64" i="4"/>
  <c r="T60" i="4"/>
  <c r="T56" i="4"/>
  <c r="T52" i="4"/>
  <c r="T48" i="4"/>
  <c r="T44" i="4"/>
  <c r="T40" i="4"/>
  <c r="T36" i="4"/>
  <c r="T32" i="4"/>
  <c r="T28" i="4"/>
  <c r="T24" i="4"/>
  <c r="T20" i="4"/>
  <c r="T16" i="4"/>
  <c r="T12" i="4"/>
  <c r="T8" i="4"/>
  <c r="T4" i="4"/>
  <c r="T239" i="4"/>
  <c r="T195" i="4"/>
  <c r="T175" i="4"/>
  <c r="T131" i="4"/>
  <c r="T111" i="4"/>
  <c r="T67" i="4"/>
  <c r="T47" i="4"/>
  <c r="T3" i="4"/>
  <c r="T231" i="4"/>
  <c r="T215" i="4"/>
  <c r="T199" i="4"/>
  <c r="T183" i="4"/>
  <c r="T167" i="4"/>
  <c r="T151" i="4"/>
  <c r="T135" i="4"/>
  <c r="T119" i="4"/>
  <c r="T103" i="4"/>
  <c r="T87" i="4"/>
  <c r="T71" i="4"/>
  <c r="T55" i="4"/>
  <c r="T39" i="4"/>
  <c r="T23" i="4"/>
  <c r="T7" i="4"/>
</calcChain>
</file>

<file path=xl/sharedStrings.xml><?xml version="1.0" encoding="utf-8"?>
<sst xmlns="http://schemas.openxmlformats.org/spreadsheetml/2006/main" count="13898" uniqueCount="1023">
  <si>
    <t>OrderID</t>
  </si>
  <si>
    <t>OrderDate</t>
  </si>
  <si>
    <t>CustomerType</t>
  </si>
  <si>
    <t>State</t>
  </si>
  <si>
    <t>City</t>
  </si>
  <si>
    <t>Region</t>
  </si>
  <si>
    <t>SalesChannel</t>
  </si>
  <si>
    <t>PaymentMethod</t>
  </si>
  <si>
    <t>Product</t>
  </si>
  <si>
    <t>Category</t>
  </si>
  <si>
    <t>Quantity</t>
  </si>
  <si>
    <t>UnitPrice_NGN</t>
  </si>
  <si>
    <t>UnitCost_NGN</t>
  </si>
  <si>
    <t>DiscountRate</t>
  </si>
  <si>
    <t>SalesRep</t>
  </si>
  <si>
    <t>OrderStatus</t>
  </si>
  <si>
    <t>NG20250001</t>
  </si>
  <si>
    <t>2025-03-13</t>
  </si>
  <si>
    <t>Retail</t>
  </si>
  <si>
    <t>Oyo State</t>
  </si>
  <si>
    <t>Ibadan</t>
  </si>
  <si>
    <t>South West</t>
  </si>
  <si>
    <t>Online</t>
  </si>
  <si>
    <t>Mobile Money</t>
  </si>
  <si>
    <t>School Bag</t>
  </si>
  <si>
    <t>Fashion</t>
  </si>
  <si>
    <t>Ibrahim</t>
  </si>
  <si>
    <t>Returned</t>
  </si>
  <si>
    <t>NG20250002</t>
  </si>
  <si>
    <t>2025-04-12</t>
  </si>
  <si>
    <t>Wholesale</t>
  </si>
  <si>
    <t>Lagos State</t>
  </si>
  <si>
    <t>Lagos</t>
  </si>
  <si>
    <t>Phone Order</t>
  </si>
  <si>
    <t>Cash</t>
  </si>
  <si>
    <t>Laptop</t>
  </si>
  <si>
    <t>Electronics</t>
  </si>
  <si>
    <t>Blessing</t>
  </si>
  <si>
    <t>NG20250003</t>
  </si>
  <si>
    <t>2025-08-05</t>
  </si>
  <si>
    <t>Corporate</t>
  </si>
  <si>
    <t>Nasarawa State</t>
  </si>
  <si>
    <t>Mararaba</t>
  </si>
  <si>
    <t>North Central</t>
  </si>
  <si>
    <t>In-Store</t>
  </si>
  <si>
    <t>Cooking Oil 5L</t>
  </si>
  <si>
    <t>Groceries</t>
  </si>
  <si>
    <t>Peter</t>
  </si>
  <si>
    <t>Delivered</t>
  </si>
  <si>
    <t>NG20250004</t>
  </si>
  <si>
    <t>2025-05-16</t>
  </si>
  <si>
    <t>Smartphone</t>
  </si>
  <si>
    <t>Musa</t>
  </si>
  <si>
    <t>NG20250005</t>
  </si>
  <si>
    <t>2025-04-09</t>
  </si>
  <si>
    <t>Blender</t>
  </si>
  <si>
    <t>Home Appliances</t>
  </si>
  <si>
    <t>Grace</t>
  </si>
  <si>
    <t>NG20250006</t>
  </si>
  <si>
    <t>2025-11-22</t>
  </si>
  <si>
    <t>FCT</t>
  </si>
  <si>
    <t>Abuja</t>
  </si>
  <si>
    <t>WhatsApp</t>
  </si>
  <si>
    <t>Debit Card</t>
  </si>
  <si>
    <t>David</t>
  </si>
  <si>
    <t>NG20250007</t>
  </si>
  <si>
    <t>NG20250008</t>
  </si>
  <si>
    <t>2025-06-16</t>
  </si>
  <si>
    <t>NG20250009</t>
  </si>
  <si>
    <t>2025-12-02</t>
  </si>
  <si>
    <t>Office Chair</t>
  </si>
  <si>
    <t>Furniture</t>
  </si>
  <si>
    <t>Pending</t>
  </si>
  <si>
    <t>NG20250010</t>
  </si>
  <si>
    <t>2025-10-27</t>
  </si>
  <si>
    <t>Tablet</t>
  </si>
  <si>
    <t>NG20250011</t>
  </si>
  <si>
    <t>2025-03-20</t>
  </si>
  <si>
    <t>Enugu State</t>
  </si>
  <si>
    <t>Enugu</t>
  </si>
  <si>
    <t>South East</t>
  </si>
  <si>
    <t>NG20250012</t>
  </si>
  <si>
    <t>2025-01-06</t>
  </si>
  <si>
    <t>Kano State</t>
  </si>
  <si>
    <t>Kano</t>
  </si>
  <si>
    <t>North West</t>
  </si>
  <si>
    <t>NG20250013</t>
  </si>
  <si>
    <t>2025-01-02</t>
  </si>
  <si>
    <t>Plateau State</t>
  </si>
  <si>
    <t>Jos</t>
  </si>
  <si>
    <t>Chidinma</t>
  </si>
  <si>
    <t>NG20250014</t>
  </si>
  <si>
    <t>2025-07-11</t>
  </si>
  <si>
    <t>Rice 50kg</t>
  </si>
  <si>
    <t>NG20250015</t>
  </si>
  <si>
    <t>2025-01-30</t>
  </si>
  <si>
    <t>Bank Transfer</t>
  </si>
  <si>
    <t>Microwave</t>
  </si>
  <si>
    <t>NG20250016</t>
  </si>
  <si>
    <t>2025-03-26</t>
  </si>
  <si>
    <t>NG20250017</t>
  </si>
  <si>
    <t>2025-09-22</t>
  </si>
  <si>
    <t>Sneakers</t>
  </si>
  <si>
    <t>NG20250018</t>
  </si>
  <si>
    <t>2025-02-06</t>
  </si>
  <si>
    <t>Office Desk</t>
  </si>
  <si>
    <t>NG20250019</t>
  </si>
  <si>
    <t>2025-09-06</t>
  </si>
  <si>
    <t>NG20250020</t>
  </si>
  <si>
    <t>2025-12-04</t>
  </si>
  <si>
    <t>Kaduna State</t>
  </si>
  <si>
    <t>Kaduna</t>
  </si>
  <si>
    <t>USSD</t>
  </si>
  <si>
    <t>Printer</t>
  </si>
  <si>
    <t>NG20250021</t>
  </si>
  <si>
    <t>2025-07-26</t>
  </si>
  <si>
    <t>NG20250022</t>
  </si>
  <si>
    <t>2025-08-25</t>
  </si>
  <si>
    <t>NG20250023</t>
  </si>
  <si>
    <t>2025-05-02</t>
  </si>
  <si>
    <t>Rivers State</t>
  </si>
  <si>
    <t>Port Harcourt</t>
  </si>
  <si>
    <t>South South</t>
  </si>
  <si>
    <t>NG20250024</t>
  </si>
  <si>
    <t>2025-08-21</t>
  </si>
  <si>
    <t>NG20250025</t>
  </si>
  <si>
    <t>2025-06-10</t>
  </si>
  <si>
    <t>NG20250026</t>
  </si>
  <si>
    <t>2025-02-04</t>
  </si>
  <si>
    <t>NG20250027</t>
  </si>
  <si>
    <t>2025-10-26</t>
  </si>
  <si>
    <t>Anambra State</t>
  </si>
  <si>
    <t>Onitsha</t>
  </si>
  <si>
    <t>Cancelled</t>
  </si>
  <si>
    <t>NG20250028</t>
  </si>
  <si>
    <t>2025-12-10</t>
  </si>
  <si>
    <t>Edo State</t>
  </si>
  <si>
    <t>Benin City</t>
  </si>
  <si>
    <t>NG20250029</t>
  </si>
  <si>
    <t>2025-10-03</t>
  </si>
  <si>
    <t>NG20250030</t>
  </si>
  <si>
    <t>2025-12-27</t>
  </si>
  <si>
    <t>NG20250031</t>
  </si>
  <si>
    <t>2025-02-24</t>
  </si>
  <si>
    <t>NG20250032</t>
  </si>
  <si>
    <t>2025-09-08</t>
  </si>
  <si>
    <t>NG20250033</t>
  </si>
  <si>
    <t>2025-08-15</t>
  </si>
  <si>
    <t>Ada</t>
  </si>
  <si>
    <t>NG20250034</t>
  </si>
  <si>
    <t>2025-01-19</t>
  </si>
  <si>
    <t>NG20250035</t>
  </si>
  <si>
    <t>2025-04-18</t>
  </si>
  <si>
    <t>NG20250036</t>
  </si>
  <si>
    <t>2025-07-31</t>
  </si>
  <si>
    <t>NG20250037</t>
  </si>
  <si>
    <t>2025-08-29</t>
  </si>
  <si>
    <t>Ogun State</t>
  </si>
  <si>
    <t>Abeokuta</t>
  </si>
  <si>
    <t>NG20250038</t>
  </si>
  <si>
    <t>2025-05-23</t>
  </si>
  <si>
    <t>NG20250039</t>
  </si>
  <si>
    <t>2025-04-02</t>
  </si>
  <si>
    <t>NG20250040</t>
  </si>
  <si>
    <t>2025-10-23</t>
  </si>
  <si>
    <t>NG20250041</t>
  </si>
  <si>
    <t>2025-08-09</t>
  </si>
  <si>
    <t>NG20250042</t>
  </si>
  <si>
    <t>2025-07-29</t>
  </si>
  <si>
    <t>NG20250043</t>
  </si>
  <si>
    <t>2025-10-19</t>
  </si>
  <si>
    <t>NG20250044</t>
  </si>
  <si>
    <t>NG20250046</t>
  </si>
  <si>
    <t>2025-08-01</t>
  </si>
  <si>
    <t>NG20250047</t>
  </si>
  <si>
    <t>2025-08-06</t>
  </si>
  <si>
    <t>NG20250048</t>
  </si>
  <si>
    <t>2025-11-10</t>
  </si>
  <si>
    <t>NG20250049</t>
  </si>
  <si>
    <t>2025-11-23</t>
  </si>
  <si>
    <t>NG20250050</t>
  </si>
  <si>
    <t>2025-06-13</t>
  </si>
  <si>
    <t>NG20250051</t>
  </si>
  <si>
    <t>2025-07-28</t>
  </si>
  <si>
    <t>NG20250052</t>
  </si>
  <si>
    <t>2025-07-14</t>
  </si>
  <si>
    <t>NG20250053</t>
  </si>
  <si>
    <t>2025-04-23</t>
  </si>
  <si>
    <t>NG20250054</t>
  </si>
  <si>
    <t>2025-03-07</t>
  </si>
  <si>
    <t>NG20250055</t>
  </si>
  <si>
    <t>2025-01-26</t>
  </si>
  <si>
    <t>NG20250056</t>
  </si>
  <si>
    <t>2025-05-10</t>
  </si>
  <si>
    <t>NG20250057</t>
  </si>
  <si>
    <t>2025-05-07</t>
  </si>
  <si>
    <t>NG20250058</t>
  </si>
  <si>
    <t>2025-05-12</t>
  </si>
  <si>
    <t>NG20250059</t>
  </si>
  <si>
    <t>NG20250060</t>
  </si>
  <si>
    <t>2025-09-30</t>
  </si>
  <si>
    <t>NG20250061</t>
  </si>
  <si>
    <t>NG20250062</t>
  </si>
  <si>
    <t>2025-08-12</t>
  </si>
  <si>
    <t>NG20250063</t>
  </si>
  <si>
    <t>2025-11-09</t>
  </si>
  <si>
    <t>NG20250064</t>
  </si>
  <si>
    <t>2025-05-24</t>
  </si>
  <si>
    <t>NG20250065</t>
  </si>
  <si>
    <t>2025-10-12</t>
  </si>
  <si>
    <t>NG20250066</t>
  </si>
  <si>
    <t>2025-12-06</t>
  </si>
  <si>
    <t>NG20250067</t>
  </si>
  <si>
    <t>2025-06-06</t>
  </si>
  <si>
    <t>NG20250068</t>
  </si>
  <si>
    <t>2025-04-21</t>
  </si>
  <si>
    <t>NG20250069</t>
  </si>
  <si>
    <t>2025-01-08</t>
  </si>
  <si>
    <t>NG20250070</t>
  </si>
  <si>
    <t>2025-01-07</t>
  </si>
  <si>
    <t>NG20250071</t>
  </si>
  <si>
    <t>2025-02-03</t>
  </si>
  <si>
    <t>NG20250072</t>
  </si>
  <si>
    <t>2025-03-02</t>
  </si>
  <si>
    <t>NG20250073</t>
  </si>
  <si>
    <t>NG20250074</t>
  </si>
  <si>
    <t>2025-02-08</t>
  </si>
  <si>
    <t>NG20250075</t>
  </si>
  <si>
    <t>NG20250076</t>
  </si>
  <si>
    <t>2025-03-14</t>
  </si>
  <si>
    <t>NG20250077</t>
  </si>
  <si>
    <t>2025-09-14</t>
  </si>
  <si>
    <t>NG20250078</t>
  </si>
  <si>
    <t>2025-04-28</t>
  </si>
  <si>
    <t>NG20250079</t>
  </si>
  <si>
    <t>NG20250080</t>
  </si>
  <si>
    <t>2025-06-18</t>
  </si>
  <si>
    <t>NG20250081</t>
  </si>
  <si>
    <t>2025-03-01</t>
  </si>
  <si>
    <t>NG20250082</t>
  </si>
  <si>
    <t>NG20250083</t>
  </si>
  <si>
    <t>2025-11-19</t>
  </si>
  <si>
    <t>NG20250084</t>
  </si>
  <si>
    <t>NG20250085</t>
  </si>
  <si>
    <t>2025-03-16</t>
  </si>
  <si>
    <t>NG20250086</t>
  </si>
  <si>
    <t>2025-05-25</t>
  </si>
  <si>
    <t>NG20250087</t>
  </si>
  <si>
    <t>2025-06-14</t>
  </si>
  <si>
    <t>NG20250088</t>
  </si>
  <si>
    <t>2025-07-15</t>
  </si>
  <si>
    <t>NG20250089</t>
  </si>
  <si>
    <t>2025-02-21</t>
  </si>
  <si>
    <t>NG20250090</t>
  </si>
  <si>
    <t>2025-11-16</t>
  </si>
  <si>
    <t>NG20250091</t>
  </si>
  <si>
    <t>NG20250092</t>
  </si>
  <si>
    <t>2025-03-27</t>
  </si>
  <si>
    <t>NG20250093</t>
  </si>
  <si>
    <t>2025-09-29</t>
  </si>
  <si>
    <t>NG20250094</t>
  </si>
  <si>
    <t>NG20250095</t>
  </si>
  <si>
    <t>2025-12-13</t>
  </si>
  <si>
    <t>NG20250096</t>
  </si>
  <si>
    <t>2025-06-04</t>
  </si>
  <si>
    <t>NG20250097</t>
  </si>
  <si>
    <t>NG20250098</t>
  </si>
  <si>
    <t>2025-06-30</t>
  </si>
  <si>
    <t>NG20250099</t>
  </si>
  <si>
    <t>2025-02-19</t>
  </si>
  <si>
    <t>NG20250100</t>
  </si>
  <si>
    <t>2025-06-17</t>
  </si>
  <si>
    <t>NG20250101</t>
  </si>
  <si>
    <t>2025-09-04</t>
  </si>
  <si>
    <t>NG20250102</t>
  </si>
  <si>
    <t>2025-07-07</t>
  </si>
  <si>
    <t>NG20250103</t>
  </si>
  <si>
    <t>NG20250104</t>
  </si>
  <si>
    <t>2025-04-24</t>
  </si>
  <si>
    <t>NG20250105</t>
  </si>
  <si>
    <t>NG20250106</t>
  </si>
  <si>
    <t>2025-03-21</t>
  </si>
  <si>
    <t>NG20250107</t>
  </si>
  <si>
    <t>2025-05-01</t>
  </si>
  <si>
    <t>NG20250108</t>
  </si>
  <si>
    <t>NG20250109</t>
  </si>
  <si>
    <t>2025-04-17</t>
  </si>
  <si>
    <t>NG20250110</t>
  </si>
  <si>
    <t>2025-05-09</t>
  </si>
  <si>
    <t>NG20250111</t>
  </si>
  <si>
    <t>2025-01-27</t>
  </si>
  <si>
    <t>NG20250112</t>
  </si>
  <si>
    <t>2025-10-31</t>
  </si>
  <si>
    <t>NG20250113</t>
  </si>
  <si>
    <t>2025-09-03</t>
  </si>
  <si>
    <t>NG20250114</t>
  </si>
  <si>
    <t>2025-05-21</t>
  </si>
  <si>
    <t>NG20250115</t>
  </si>
  <si>
    <t>2025-11-30</t>
  </si>
  <si>
    <t>NG20250116</t>
  </si>
  <si>
    <t>2025-02-18</t>
  </si>
  <si>
    <t>NG20250117</t>
  </si>
  <si>
    <t>2025-02-17</t>
  </si>
  <si>
    <t>NG20250118</t>
  </si>
  <si>
    <t>2025-07-01</t>
  </si>
  <si>
    <t>NG20250119</t>
  </si>
  <si>
    <t>NG20250120</t>
  </si>
  <si>
    <t>2025-11-15</t>
  </si>
  <si>
    <t>NG20250121</t>
  </si>
  <si>
    <t>2025-06-29</t>
  </si>
  <si>
    <t>NG20250122</t>
  </si>
  <si>
    <t>NG20250123</t>
  </si>
  <si>
    <t>south west</t>
  </si>
  <si>
    <t>NG20250124</t>
  </si>
  <si>
    <t>2025-05-20</t>
  </si>
  <si>
    <t>NG20250125</t>
  </si>
  <si>
    <t>2025-12-08</t>
  </si>
  <si>
    <t>NG20250126</t>
  </si>
  <si>
    <t>2025-05-29</t>
  </si>
  <si>
    <t>NG20250127</t>
  </si>
  <si>
    <t>2025-10-14</t>
  </si>
  <si>
    <t>NG20250128</t>
  </si>
  <si>
    <t>2025-08-08</t>
  </si>
  <si>
    <t>NG20250129</t>
  </si>
  <si>
    <t>2025-07-05</t>
  </si>
  <si>
    <t>NG20250130</t>
  </si>
  <si>
    <t>2025-06-23</t>
  </si>
  <si>
    <t>NG20250131</t>
  </si>
  <si>
    <t>2025-11-27</t>
  </si>
  <si>
    <t>NG20250132</t>
  </si>
  <si>
    <t>2025-11-18</t>
  </si>
  <si>
    <t>NG20250133</t>
  </si>
  <si>
    <t>2025-11-20</t>
  </si>
  <si>
    <t>NG20250134</t>
  </si>
  <si>
    <t>2025-02-09</t>
  </si>
  <si>
    <t>NG20250135</t>
  </si>
  <si>
    <t>2025-03-19</t>
  </si>
  <si>
    <t>NG20250136</t>
  </si>
  <si>
    <t>2025-09-26</t>
  </si>
  <si>
    <t>NG20250137</t>
  </si>
  <si>
    <t>2025-11-28</t>
  </si>
  <si>
    <t>NG20250138</t>
  </si>
  <si>
    <t>2025-02-11</t>
  </si>
  <si>
    <t>NG20250139</t>
  </si>
  <si>
    <t>NG20250140</t>
  </si>
  <si>
    <t>2025-06-08</t>
  </si>
  <si>
    <t>NG20250141</t>
  </si>
  <si>
    <t>2025-10-04</t>
  </si>
  <si>
    <t>NG20250142</t>
  </si>
  <si>
    <t>2025-08-13</t>
  </si>
  <si>
    <t>NG20250143</t>
  </si>
  <si>
    <t>2025-10-01</t>
  </si>
  <si>
    <t>NG20250144</t>
  </si>
  <si>
    <t>2025-09-15</t>
  </si>
  <si>
    <t>NG20250145</t>
  </si>
  <si>
    <t>2025-02-22</t>
  </si>
  <si>
    <t>NG20250146</t>
  </si>
  <si>
    <t>2025-02-16</t>
  </si>
  <si>
    <t>NG20250147</t>
  </si>
  <si>
    <t>NG20250148</t>
  </si>
  <si>
    <t>NG20250149</t>
  </si>
  <si>
    <t>2025-11-08</t>
  </si>
  <si>
    <t>NG20250150</t>
  </si>
  <si>
    <t>2025-02-26</t>
  </si>
  <si>
    <t>NG20250151</t>
  </si>
  <si>
    <t>2025-10-20</t>
  </si>
  <si>
    <t>NG20250152</t>
  </si>
  <si>
    <t>NG20250153</t>
  </si>
  <si>
    <t>2025-12-03</t>
  </si>
  <si>
    <t>NG20250154</t>
  </si>
  <si>
    <t>2025-08-26</t>
  </si>
  <si>
    <t>NG20250155</t>
  </si>
  <si>
    <t>2025-01-22</t>
  </si>
  <si>
    <t>NG20250156</t>
  </si>
  <si>
    <t>2025-01-25</t>
  </si>
  <si>
    <t>NG20250157</t>
  </si>
  <si>
    <t>2025-09-12</t>
  </si>
  <si>
    <t>NG20250158</t>
  </si>
  <si>
    <t>2025-05-31</t>
  </si>
  <si>
    <t>NG20250159</t>
  </si>
  <si>
    <t>2025-08-16</t>
  </si>
  <si>
    <t>NG20250160</t>
  </si>
  <si>
    <t>NG20250161</t>
  </si>
  <si>
    <t>NG20250162</t>
  </si>
  <si>
    <t>NG20250163</t>
  </si>
  <si>
    <t>2025-04-06</t>
  </si>
  <si>
    <t>NG20250164</t>
  </si>
  <si>
    <t>2025-09-09</t>
  </si>
  <si>
    <t>NG20250165</t>
  </si>
  <si>
    <t>2025-06-27</t>
  </si>
  <si>
    <t>NG20250166</t>
  </si>
  <si>
    <t>2025-09-18</t>
  </si>
  <si>
    <t>NG20250167</t>
  </si>
  <si>
    <t>2025-10-10</t>
  </si>
  <si>
    <t>NG20250168</t>
  </si>
  <si>
    <t>2025-10-22</t>
  </si>
  <si>
    <t>NG20250169</t>
  </si>
  <si>
    <t>2025-08-10</t>
  </si>
  <si>
    <t>NG20250170</t>
  </si>
  <si>
    <t>2025-09-23</t>
  </si>
  <si>
    <t>NG20250171</t>
  </si>
  <si>
    <t>2025-11-25</t>
  </si>
  <si>
    <t>NG20250172</t>
  </si>
  <si>
    <t>NG20250173</t>
  </si>
  <si>
    <t>NG20250174</t>
  </si>
  <si>
    <t>NG20250175</t>
  </si>
  <si>
    <t>2025-10-15</t>
  </si>
  <si>
    <t>NG20250176</t>
  </si>
  <si>
    <t>2025-07-16</t>
  </si>
  <si>
    <t>NG20250177</t>
  </si>
  <si>
    <t>2025-09-21</t>
  </si>
  <si>
    <t>NG20250178</t>
  </si>
  <si>
    <t>NG20250179</t>
  </si>
  <si>
    <t>NG20250180</t>
  </si>
  <si>
    <t>2025-05-28</t>
  </si>
  <si>
    <t>NG20250181</t>
  </si>
  <si>
    <t>NG20250182</t>
  </si>
  <si>
    <t>2025-03-12</t>
  </si>
  <si>
    <t>NG20250183</t>
  </si>
  <si>
    <t>NG20250184</t>
  </si>
  <si>
    <t>2025-01-09</t>
  </si>
  <si>
    <t>NG20250185</t>
  </si>
  <si>
    <t>NG20250186</t>
  </si>
  <si>
    <t>2025-12-15</t>
  </si>
  <si>
    <t>NG20250187</t>
  </si>
  <si>
    <t>NG20250188</t>
  </si>
  <si>
    <t>2025-03-30</t>
  </si>
  <si>
    <t>NG20250189</t>
  </si>
  <si>
    <t>2025-09-05</t>
  </si>
  <si>
    <t>NG20250190</t>
  </si>
  <si>
    <t>NG20250191</t>
  </si>
  <si>
    <t>2025-06-26</t>
  </si>
  <si>
    <t>NG20250192</t>
  </si>
  <si>
    <t>2025-04-14</t>
  </si>
  <si>
    <t>NG20250193</t>
  </si>
  <si>
    <t>NG20250194</t>
  </si>
  <si>
    <t>2025-10-09</t>
  </si>
  <si>
    <t>NG20250195</t>
  </si>
  <si>
    <t>2025-10-21</t>
  </si>
  <si>
    <t>NG20250196</t>
  </si>
  <si>
    <t>NG20250197</t>
  </si>
  <si>
    <t>2025-09-16</t>
  </si>
  <si>
    <t>NG20250198</t>
  </si>
  <si>
    <t>2025-06-22</t>
  </si>
  <si>
    <t>NG20250199</t>
  </si>
  <si>
    <t>NG20250200</t>
  </si>
  <si>
    <t>NG20250201</t>
  </si>
  <si>
    <t>2025-03-23</t>
  </si>
  <si>
    <t>NG20250202</t>
  </si>
  <si>
    <t>NG20250203</t>
  </si>
  <si>
    <t>2025-11-02</t>
  </si>
  <si>
    <t>NG20250204</t>
  </si>
  <si>
    <t>2025-10-02</t>
  </si>
  <si>
    <t>NG20250205</t>
  </si>
  <si>
    <t>2025-09-19</t>
  </si>
  <si>
    <t>NG20250206</t>
  </si>
  <si>
    <t>2025-01-12</t>
  </si>
  <si>
    <t>NG20250207</t>
  </si>
  <si>
    <t>2025-08-30</t>
  </si>
  <si>
    <t>NG20250208</t>
  </si>
  <si>
    <t>2025-08-18</t>
  </si>
  <si>
    <t>NG20250209</t>
  </si>
  <si>
    <t>NG20250210</t>
  </si>
  <si>
    <t>NG20250211</t>
  </si>
  <si>
    <t>NG20250212</t>
  </si>
  <si>
    <t>2025-01-23</t>
  </si>
  <si>
    <t>NG20250213</t>
  </si>
  <si>
    <t>NG20250214</t>
  </si>
  <si>
    <t>2025-02-01</t>
  </si>
  <si>
    <t>NG20250215</t>
  </si>
  <si>
    <t>NG20250216</t>
  </si>
  <si>
    <t>2025-06-03</t>
  </si>
  <si>
    <t>NG20250217</t>
  </si>
  <si>
    <t>2025-04-15</t>
  </si>
  <si>
    <t>NG20250218</t>
  </si>
  <si>
    <t>2025-07-13</t>
  </si>
  <si>
    <t>NG20250219</t>
  </si>
  <si>
    <t>2025-06-20</t>
  </si>
  <si>
    <t>NG20250220</t>
  </si>
  <si>
    <t>2025-05-03</t>
  </si>
  <si>
    <t>three</t>
  </si>
  <si>
    <t>NG20250221</t>
  </si>
  <si>
    <t>NG20250222</t>
  </si>
  <si>
    <t>NG20250223</t>
  </si>
  <si>
    <t>NG20250224</t>
  </si>
  <si>
    <t>NG20250225</t>
  </si>
  <si>
    <t>NG20250226</t>
  </si>
  <si>
    <t>NG20250227</t>
  </si>
  <si>
    <t>NG20250228</t>
  </si>
  <si>
    <t>NG20250229</t>
  </si>
  <si>
    <t>2025-05-05</t>
  </si>
  <si>
    <t>NG20250230</t>
  </si>
  <si>
    <t>NG20250231</t>
  </si>
  <si>
    <t>NG20250232</t>
  </si>
  <si>
    <t>2025-06-11</t>
  </si>
  <si>
    <t>NG20250233</t>
  </si>
  <si>
    <t>NG20250234</t>
  </si>
  <si>
    <t>2025-11-06</t>
  </si>
  <si>
    <t>NG20250235</t>
  </si>
  <si>
    <t>2025-07-02</t>
  </si>
  <si>
    <t>NG20250236</t>
  </si>
  <si>
    <t>2025-05-18</t>
  </si>
  <si>
    <t>NG20250237</t>
  </si>
  <si>
    <t>2025-05-19</t>
  </si>
  <si>
    <t>NG20250238</t>
  </si>
  <si>
    <t>2025-02-15</t>
  </si>
  <si>
    <t>NG20250239</t>
  </si>
  <si>
    <t>NG20250240</t>
  </si>
  <si>
    <t>NG20250241</t>
  </si>
  <si>
    <t>2025-11-12</t>
  </si>
  <si>
    <t>NG20250242</t>
  </si>
  <si>
    <t>2025-08-14</t>
  </si>
  <si>
    <t>NG20250243</t>
  </si>
  <si>
    <t>NG20250244</t>
  </si>
  <si>
    <t>2025-02-28</t>
  </si>
  <si>
    <t>NG20250245</t>
  </si>
  <si>
    <t>2025-12-21</t>
  </si>
  <si>
    <t>NG20250246</t>
  </si>
  <si>
    <t>2025-02-07</t>
  </si>
  <si>
    <t>NG20250247</t>
  </si>
  <si>
    <t>NG20250248</t>
  </si>
  <si>
    <t>NG20250249</t>
  </si>
  <si>
    <t>NG20250250</t>
  </si>
  <si>
    <t>NG20250251</t>
  </si>
  <si>
    <t>2025-12-23</t>
  </si>
  <si>
    <t>NG20250252</t>
  </si>
  <si>
    <t>NG20250253</t>
  </si>
  <si>
    <t>NG20250254</t>
  </si>
  <si>
    <t>2025-01-03</t>
  </si>
  <si>
    <t>NG20250255</t>
  </si>
  <si>
    <t>NG20250256</t>
  </si>
  <si>
    <t>NG20250257</t>
  </si>
  <si>
    <t>2025-03-10</t>
  </si>
  <si>
    <t>NG20250258</t>
  </si>
  <si>
    <t>NG20250259</t>
  </si>
  <si>
    <t>NG20250260</t>
  </si>
  <si>
    <t>2025-03-11</t>
  </si>
  <si>
    <t>NG20250261</t>
  </si>
  <si>
    <t>2025-10-17</t>
  </si>
  <si>
    <t>NG20250262</t>
  </si>
  <si>
    <t>2025-09-11</t>
  </si>
  <si>
    <t>NG20250263</t>
  </si>
  <si>
    <t>NG20250264</t>
  </si>
  <si>
    <t>NG20250265</t>
  </si>
  <si>
    <t>NG20250266</t>
  </si>
  <si>
    <t>2025-12-14</t>
  </si>
  <si>
    <t>NG20250267</t>
  </si>
  <si>
    <t>2025-12-31</t>
  </si>
  <si>
    <t>NG20250268</t>
  </si>
  <si>
    <t>NG20250269</t>
  </si>
  <si>
    <t>NG20250270</t>
  </si>
  <si>
    <t>NG20250271</t>
  </si>
  <si>
    <t>2025-02-20</t>
  </si>
  <si>
    <t>NG20250272</t>
  </si>
  <si>
    <t>2025-03-09</t>
  </si>
  <si>
    <t>NG20250273</t>
  </si>
  <si>
    <t>2025-07-22</t>
  </si>
  <si>
    <t>NG20250274</t>
  </si>
  <si>
    <t>NG20250275</t>
  </si>
  <si>
    <t>NG20250276</t>
  </si>
  <si>
    <t>NG20250277</t>
  </si>
  <si>
    <t>NG20250278</t>
  </si>
  <si>
    <t>NG20250279</t>
  </si>
  <si>
    <t>2025-01-14</t>
  </si>
  <si>
    <t>NG20250280</t>
  </si>
  <si>
    <t>2025-07-17</t>
  </si>
  <si>
    <t>NG20250281</t>
  </si>
  <si>
    <t>NG20250282</t>
  </si>
  <si>
    <t>2025-01-31</t>
  </si>
  <si>
    <t>NG20250283</t>
  </si>
  <si>
    <t>2025-02-12</t>
  </si>
  <si>
    <t>NG20250284</t>
  </si>
  <si>
    <t>2025-12-24</t>
  </si>
  <si>
    <t>NG20250285</t>
  </si>
  <si>
    <t>NG20250286</t>
  </si>
  <si>
    <t>2025-09-25</t>
  </si>
  <si>
    <t>NG20250287</t>
  </si>
  <si>
    <t>2025-06-21</t>
  </si>
  <si>
    <t>NG20250288</t>
  </si>
  <si>
    <t>NG20250289</t>
  </si>
  <si>
    <t>2025-01-24</t>
  </si>
  <si>
    <t>NG20250290</t>
  </si>
  <si>
    <t>NG20250291</t>
  </si>
  <si>
    <t>2025-04-25</t>
  </si>
  <si>
    <t>NG20250292</t>
  </si>
  <si>
    <t>2025-07-08</t>
  </si>
  <si>
    <t>NG20250293</t>
  </si>
  <si>
    <t>2025-10-07</t>
  </si>
  <si>
    <t>NG20250294</t>
  </si>
  <si>
    <t>2025-01-01</t>
  </si>
  <si>
    <t>NG20250295</t>
  </si>
  <si>
    <t>NG20250296</t>
  </si>
  <si>
    <t>NG20250297</t>
  </si>
  <si>
    <t>NG20250298</t>
  </si>
  <si>
    <t>2025-02-25</t>
  </si>
  <si>
    <t>NG20250299</t>
  </si>
  <si>
    <t>2025-06-07</t>
  </si>
  <si>
    <t>NG20250300</t>
  </si>
  <si>
    <t>NG20250301</t>
  </si>
  <si>
    <t>2025-07-27</t>
  </si>
  <si>
    <t>NG20250302</t>
  </si>
  <si>
    <t>NG20250303</t>
  </si>
  <si>
    <t>NG20250304</t>
  </si>
  <si>
    <t>2025-01-16</t>
  </si>
  <si>
    <t>NG20250305</t>
  </si>
  <si>
    <t>2025-11-11</t>
  </si>
  <si>
    <t>NG20250306</t>
  </si>
  <si>
    <t>deliverd</t>
  </si>
  <si>
    <t>NG20250307</t>
  </si>
  <si>
    <t>NG20250308</t>
  </si>
  <si>
    <t>NG20250309</t>
  </si>
  <si>
    <t>NG20250310</t>
  </si>
  <si>
    <t>2025-01-15</t>
  </si>
  <si>
    <t>NG20250311</t>
  </si>
  <si>
    <t>NG20250312</t>
  </si>
  <si>
    <t>2025-06-19</t>
  </si>
  <si>
    <t>NG20250313</t>
  </si>
  <si>
    <t>2025-09-27</t>
  </si>
  <si>
    <t>NG20250314</t>
  </si>
  <si>
    <t>2025-09-07</t>
  </si>
  <si>
    <t>NG20250315</t>
  </si>
  <si>
    <t>2025-12-19</t>
  </si>
  <si>
    <t>NG20250316</t>
  </si>
  <si>
    <t>NG20250317</t>
  </si>
  <si>
    <t>NG20250318</t>
  </si>
  <si>
    <t>NG20250319</t>
  </si>
  <si>
    <t>NG20250320</t>
  </si>
  <si>
    <t>2025-01-11</t>
  </si>
  <si>
    <t>NG20250321</t>
  </si>
  <si>
    <t>2025-11-01</t>
  </si>
  <si>
    <t>NG20250322</t>
  </si>
  <si>
    <t>2025-04-08</t>
  </si>
  <si>
    <t>NG20250323</t>
  </si>
  <si>
    <t>2025-01-28</t>
  </si>
  <si>
    <t>NG20250324</t>
  </si>
  <si>
    <t>2025-04-16</t>
  </si>
  <si>
    <t>NG20250325</t>
  </si>
  <si>
    <t>NG20250326</t>
  </si>
  <si>
    <t>2025-08-27</t>
  </si>
  <si>
    <t>NG20250327</t>
  </si>
  <si>
    <t>NG20250328</t>
  </si>
  <si>
    <t>NG20250329</t>
  </si>
  <si>
    <t>2025-03-06</t>
  </si>
  <si>
    <t>NG20250330</t>
  </si>
  <si>
    <t>NG20250331</t>
  </si>
  <si>
    <t>NG20250332</t>
  </si>
  <si>
    <t>2025-10-16</t>
  </si>
  <si>
    <t>NG20250333</t>
  </si>
  <si>
    <t>NG20250334</t>
  </si>
  <si>
    <t>2025-09-01</t>
  </si>
  <si>
    <t>NG20250335</t>
  </si>
  <si>
    <t>NG20250336</t>
  </si>
  <si>
    <t>2025-04-19</t>
  </si>
  <si>
    <t>NG20250337</t>
  </si>
  <si>
    <t>2025-09-17</t>
  </si>
  <si>
    <t>NG20250338</t>
  </si>
  <si>
    <t>NG20250339</t>
  </si>
  <si>
    <t>NG20250340</t>
  </si>
  <si>
    <t>NG20250341</t>
  </si>
  <si>
    <t>NG20250342</t>
  </si>
  <si>
    <t>NG20250343</t>
  </si>
  <si>
    <t>2025-09-24</t>
  </si>
  <si>
    <t>NG20250344</t>
  </si>
  <si>
    <t>NG20250345</t>
  </si>
  <si>
    <t>2025-03-18</t>
  </si>
  <si>
    <t>NG20250346</t>
  </si>
  <si>
    <t>NG20250347</t>
  </si>
  <si>
    <t>NG20250348</t>
  </si>
  <si>
    <t>NG20250349</t>
  </si>
  <si>
    <t>NG20250350</t>
  </si>
  <si>
    <t>2025-04-10</t>
  </si>
  <si>
    <t>NG20250351</t>
  </si>
  <si>
    <t>2025-06-25</t>
  </si>
  <si>
    <t>NG20250352</t>
  </si>
  <si>
    <t>2025-04-01</t>
  </si>
  <si>
    <t>NG20250353</t>
  </si>
  <si>
    <t>NG20250354</t>
  </si>
  <si>
    <t>NG20250355</t>
  </si>
  <si>
    <t>2025-03-08</t>
  </si>
  <si>
    <t>NG20250356</t>
  </si>
  <si>
    <t>2025-12-18</t>
  </si>
  <si>
    <t>NG20250357</t>
  </si>
  <si>
    <t>NG20250358</t>
  </si>
  <si>
    <t>NG20250359</t>
  </si>
  <si>
    <t>2025-10-08</t>
  </si>
  <si>
    <t>NG20250360</t>
  </si>
  <si>
    <t>2025-11-07</t>
  </si>
  <si>
    <t>NG20250361</t>
  </si>
  <si>
    <t>2025-04-13</t>
  </si>
  <si>
    <t>NG20250362</t>
  </si>
  <si>
    <t>NG20250363</t>
  </si>
  <si>
    <t>NG20250364</t>
  </si>
  <si>
    <t>2025-01-21</t>
  </si>
  <si>
    <t>NG20250365</t>
  </si>
  <si>
    <t>2025-07-03</t>
  </si>
  <si>
    <t>NG20250366</t>
  </si>
  <si>
    <t>NG20250367</t>
  </si>
  <si>
    <t>2025-08-02</t>
  </si>
  <si>
    <t>NG20250368</t>
  </si>
  <si>
    <t>NG20250369</t>
  </si>
  <si>
    <t>NG20250370</t>
  </si>
  <si>
    <t>2025-10-13</t>
  </si>
  <si>
    <t>NG20250371</t>
  </si>
  <si>
    <t>NG20250372</t>
  </si>
  <si>
    <t>2025-09-13</t>
  </si>
  <si>
    <t>NG20250373</t>
  </si>
  <si>
    <t>NG20250374</t>
  </si>
  <si>
    <t>NG20250375</t>
  </si>
  <si>
    <t>NG20250376</t>
  </si>
  <si>
    <t>2025-05-11</t>
  </si>
  <si>
    <t>NG20250377</t>
  </si>
  <si>
    <t>NG20250378</t>
  </si>
  <si>
    <t>NG20250379</t>
  </si>
  <si>
    <t>2025-07-18</t>
  </si>
  <si>
    <t>NG20250380</t>
  </si>
  <si>
    <t>2025-07-23</t>
  </si>
  <si>
    <t>NG20250381</t>
  </si>
  <si>
    <t>NG20250382</t>
  </si>
  <si>
    <t>2025-11-29</t>
  </si>
  <si>
    <t>NG20250383</t>
  </si>
  <si>
    <t>NG20250384</t>
  </si>
  <si>
    <t>2025-05-17</t>
  </si>
  <si>
    <t>NG20250385</t>
  </si>
  <si>
    <t>2025-08-20</t>
  </si>
  <si>
    <t>NG20250386</t>
  </si>
  <si>
    <t>2025-12-07</t>
  </si>
  <si>
    <t>NG20250387</t>
  </si>
  <si>
    <t>NG20250388</t>
  </si>
  <si>
    <t>NG20250389</t>
  </si>
  <si>
    <t>NG20250390</t>
  </si>
  <si>
    <t>NG20250391</t>
  </si>
  <si>
    <t>2025-10-06</t>
  </si>
  <si>
    <t>NG20250392</t>
  </si>
  <si>
    <t>2025-11-13</t>
  </si>
  <si>
    <t>NG20250393</t>
  </si>
  <si>
    <t>2025-12-16</t>
  </si>
  <si>
    <t>NG20250394</t>
  </si>
  <si>
    <t>NG20250395</t>
  </si>
  <si>
    <t>NG20250396</t>
  </si>
  <si>
    <t>NG20250397</t>
  </si>
  <si>
    <t>NG20250398</t>
  </si>
  <si>
    <t>2025-07-19</t>
  </si>
  <si>
    <t>NG20250399</t>
  </si>
  <si>
    <t>NG20250400</t>
  </si>
  <si>
    <t>2025-03-22</t>
  </si>
  <si>
    <t>NG20250401</t>
  </si>
  <si>
    <t>2025-10-11</t>
  </si>
  <si>
    <t>NG20250402</t>
  </si>
  <si>
    <t>NG20250403</t>
  </si>
  <si>
    <t>NG20250404</t>
  </si>
  <si>
    <t>NG20250405</t>
  </si>
  <si>
    <t>2025-05-26</t>
  </si>
  <si>
    <t>NG20250406</t>
  </si>
  <si>
    <t>2025-10-18</t>
  </si>
  <si>
    <t>NG20250407</t>
  </si>
  <si>
    <t>2025-07-04</t>
  </si>
  <si>
    <t>NG20250408</t>
  </si>
  <si>
    <t>NG20250409</t>
  </si>
  <si>
    <t>NG20250410</t>
  </si>
  <si>
    <t>NG20250411</t>
  </si>
  <si>
    <t>NG20250412</t>
  </si>
  <si>
    <t>electronics</t>
  </si>
  <si>
    <t>NG20250413</t>
  </si>
  <si>
    <t>NG20250414</t>
  </si>
  <si>
    <t>2025-05-15</t>
  </si>
  <si>
    <t>NG20250415</t>
  </si>
  <si>
    <t>NG20250416</t>
  </si>
  <si>
    <t>NG20250417</t>
  </si>
  <si>
    <t>NG20250418</t>
  </si>
  <si>
    <t>NG20250419</t>
  </si>
  <si>
    <t>NG20250420</t>
  </si>
  <si>
    <t>NG20250421</t>
  </si>
  <si>
    <t>NG20250422</t>
  </si>
  <si>
    <t>NG20250423</t>
  </si>
  <si>
    <t>NG20250424</t>
  </si>
  <si>
    <t>NG20250425</t>
  </si>
  <si>
    <t>2025-11-03</t>
  </si>
  <si>
    <t>NG20250426</t>
  </si>
  <si>
    <t>2025-01-04</t>
  </si>
  <si>
    <t>NG20250427</t>
  </si>
  <si>
    <t>NG20250428</t>
  </si>
  <si>
    <t>2025-07-09</t>
  </si>
  <si>
    <t>NG20250429</t>
  </si>
  <si>
    <t>NG20250430</t>
  </si>
  <si>
    <t>NG20250431</t>
  </si>
  <si>
    <t>2025-02-10</t>
  </si>
  <si>
    <t>NG20250432</t>
  </si>
  <si>
    <t>NG20250433</t>
  </si>
  <si>
    <t>2025-03-28</t>
  </si>
  <si>
    <t>NG20250434</t>
  </si>
  <si>
    <t>2025-12-09</t>
  </si>
  <si>
    <t>NG20250435</t>
  </si>
  <si>
    <t>NG20250436</t>
  </si>
  <si>
    <t>2025-03-31</t>
  </si>
  <si>
    <t>NG20250437</t>
  </si>
  <si>
    <t>NG20250438</t>
  </si>
  <si>
    <t>NG20250439</t>
  </si>
  <si>
    <t>NG20250440</t>
  </si>
  <si>
    <t>NG20250441</t>
  </si>
  <si>
    <t>NG20250442</t>
  </si>
  <si>
    <t>NG20250443</t>
  </si>
  <si>
    <t>NG20250444</t>
  </si>
  <si>
    <t>NG20250445</t>
  </si>
  <si>
    <t>NG20250446</t>
  </si>
  <si>
    <t>NG20250447</t>
  </si>
  <si>
    <t>2025-07-10</t>
  </si>
  <si>
    <t>NG20250448</t>
  </si>
  <si>
    <t>NG20250449</t>
  </si>
  <si>
    <t>2025-08-04</t>
  </si>
  <si>
    <t>NG20250450</t>
  </si>
  <si>
    <t>2025-12-20</t>
  </si>
  <si>
    <t>NG20250451</t>
  </si>
  <si>
    <t>NG20250452</t>
  </si>
  <si>
    <t>NG20250453</t>
  </si>
  <si>
    <t>NG20250454</t>
  </si>
  <si>
    <t>NG20250455</t>
  </si>
  <si>
    <t>NG20250456</t>
  </si>
  <si>
    <t>2025-12-25</t>
  </si>
  <si>
    <t>NG20250457</t>
  </si>
  <si>
    <t>NG20250458</t>
  </si>
  <si>
    <t>NG20250459</t>
  </si>
  <si>
    <t>NG20250460</t>
  </si>
  <si>
    <t>NG20250461</t>
  </si>
  <si>
    <t>NG20250462</t>
  </si>
  <si>
    <t>NG20250463</t>
  </si>
  <si>
    <t>2025-07-30</t>
  </si>
  <si>
    <t>NG20250464</t>
  </si>
  <si>
    <t>NG20250465</t>
  </si>
  <si>
    <t>2025-04-07</t>
  </si>
  <si>
    <t>NG20250466</t>
  </si>
  <si>
    <t>NG20250467</t>
  </si>
  <si>
    <t>2025-01-05</t>
  </si>
  <si>
    <t>NG20250468</t>
  </si>
  <si>
    <t>NG20250469</t>
  </si>
  <si>
    <t>NG20250470</t>
  </si>
  <si>
    <t>NG20250471</t>
  </si>
  <si>
    <t>NG20250472</t>
  </si>
  <si>
    <t>NG20250473</t>
  </si>
  <si>
    <t>NG20250474</t>
  </si>
  <si>
    <t>NG20250475</t>
  </si>
  <si>
    <t>NG20250476</t>
  </si>
  <si>
    <t>NG20250477</t>
  </si>
  <si>
    <t>2025-06-28</t>
  </si>
  <si>
    <t>NG20250478</t>
  </si>
  <si>
    <t>NG20250479</t>
  </si>
  <si>
    <t>2025-02-02</t>
  </si>
  <si>
    <t>NG20250480</t>
  </si>
  <si>
    <t>NG20250481</t>
  </si>
  <si>
    <t>2025-01-17</t>
  </si>
  <si>
    <t>NG20250482</t>
  </si>
  <si>
    <t>NG20250483</t>
  </si>
  <si>
    <t>NG20250484</t>
  </si>
  <si>
    <t>2025-04-29</t>
  </si>
  <si>
    <t>NG20250485</t>
  </si>
  <si>
    <t>NG20250486</t>
  </si>
  <si>
    <t>NG20250487</t>
  </si>
  <si>
    <t>2025-06-15</t>
  </si>
  <si>
    <t>NG20250488</t>
  </si>
  <si>
    <t>2025-01-18</t>
  </si>
  <si>
    <t>NG20250489</t>
  </si>
  <si>
    <t>NG20250490</t>
  </si>
  <si>
    <t>2025-05-08</t>
  </si>
  <si>
    <t>NG20250491</t>
  </si>
  <si>
    <t>NG20250492</t>
  </si>
  <si>
    <t>NG20250493</t>
  </si>
  <si>
    <t>NG20250494</t>
  </si>
  <si>
    <t>2025-07-21</t>
  </si>
  <si>
    <t>NG20250495</t>
  </si>
  <si>
    <t>NG20250496</t>
  </si>
  <si>
    <t>NG20250497</t>
  </si>
  <si>
    <t>NG20250498</t>
  </si>
  <si>
    <t>NG20250499</t>
  </si>
  <si>
    <t>NG20250500</t>
  </si>
  <si>
    <t>2025-11-14</t>
  </si>
  <si>
    <t>NG20250501</t>
  </si>
  <si>
    <t>NG20250502</t>
  </si>
  <si>
    <t>NG20250503</t>
  </si>
  <si>
    <t>NG20250504</t>
  </si>
  <si>
    <t>NG20250505</t>
  </si>
  <si>
    <t>NG20250506</t>
  </si>
  <si>
    <t>NG20250507</t>
  </si>
  <si>
    <t>NG20250508</t>
  </si>
  <si>
    <t>NG20250509</t>
  </si>
  <si>
    <t>2025-10-05</t>
  </si>
  <si>
    <t>NG20250510</t>
  </si>
  <si>
    <t>NG20250511</t>
  </si>
  <si>
    <t>NG20250512</t>
  </si>
  <si>
    <t>NG20250513</t>
  </si>
  <si>
    <t>NG20250514</t>
  </si>
  <si>
    <t>NG20250515</t>
  </si>
  <si>
    <t>NG20250516</t>
  </si>
  <si>
    <t>NG20250517</t>
  </si>
  <si>
    <t>NG20250518</t>
  </si>
  <si>
    <t>2025-05-30</t>
  </si>
  <si>
    <t>NG20250519</t>
  </si>
  <si>
    <t>NG20250520</t>
  </si>
  <si>
    <t>2025-10-30</t>
  </si>
  <si>
    <t>NG20250521</t>
  </si>
  <si>
    <t>2025-03-05</t>
  </si>
  <si>
    <t>NG20250522</t>
  </si>
  <si>
    <t>NG20250523</t>
  </si>
  <si>
    <t>NG20250524</t>
  </si>
  <si>
    <t>2025-08-23</t>
  </si>
  <si>
    <t>NG20250525</t>
  </si>
  <si>
    <t>NG20250526</t>
  </si>
  <si>
    <t>2025-04-05</t>
  </si>
  <si>
    <t>NG20250527</t>
  </si>
  <si>
    <t>2025-02-14</t>
  </si>
  <si>
    <t>NG20250528</t>
  </si>
  <si>
    <t>2025-10-24</t>
  </si>
  <si>
    <t>NG20250529</t>
  </si>
  <si>
    <t>NG20250530</t>
  </si>
  <si>
    <t>NG20250531</t>
  </si>
  <si>
    <t>NG20250532</t>
  </si>
  <si>
    <t>2025-01-13</t>
  </si>
  <si>
    <t>NG20250533</t>
  </si>
  <si>
    <t>2025-11-24</t>
  </si>
  <si>
    <t>NG20250534</t>
  </si>
  <si>
    <t>NG20250535</t>
  </si>
  <si>
    <t>NG20250536</t>
  </si>
  <si>
    <t>2025-01-29</t>
  </si>
  <si>
    <t>NG20250537</t>
  </si>
  <si>
    <t>NG20250538</t>
  </si>
  <si>
    <t>2025-12-28</t>
  </si>
  <si>
    <t>NG20250539</t>
  </si>
  <si>
    <t>NG20250540</t>
  </si>
  <si>
    <t>NG20250541</t>
  </si>
  <si>
    <t>NG20250542</t>
  </si>
  <si>
    <t>2025-08-28</t>
  </si>
  <si>
    <t>NG20250543</t>
  </si>
  <si>
    <t>NG20250544</t>
  </si>
  <si>
    <t>NG20250545</t>
  </si>
  <si>
    <t>NG20250546</t>
  </si>
  <si>
    <t>NG20250547</t>
  </si>
  <si>
    <t>NG20250548</t>
  </si>
  <si>
    <t>2025-11-26</t>
  </si>
  <si>
    <t>NG20250549</t>
  </si>
  <si>
    <t>NG20250550</t>
  </si>
  <si>
    <t>2025-03-29</t>
  </si>
  <si>
    <t>NG20250551</t>
  </si>
  <si>
    <t>NG20250552</t>
  </si>
  <si>
    <t>NG20250553</t>
  </si>
  <si>
    <t>NG20250554</t>
  </si>
  <si>
    <t>NG20250555</t>
  </si>
  <si>
    <t>NG20250556</t>
  </si>
  <si>
    <t>NG20250557</t>
  </si>
  <si>
    <t>NG20250558</t>
  </si>
  <si>
    <t>NG20250559</t>
  </si>
  <si>
    <t>NG20250560</t>
  </si>
  <si>
    <t>NG20250561</t>
  </si>
  <si>
    <t>NG20250562</t>
  </si>
  <si>
    <t>NG20250563</t>
  </si>
  <si>
    <t>NG20250564</t>
  </si>
  <si>
    <t>2025-10-25</t>
  </si>
  <si>
    <t>NG20250565</t>
  </si>
  <si>
    <t>NG20250566</t>
  </si>
  <si>
    <t>NG20250567</t>
  </si>
  <si>
    <t>NG20250568</t>
  </si>
  <si>
    <t>NG20250569</t>
  </si>
  <si>
    <t>2025-02-27</t>
  </si>
  <si>
    <t>NG20250570</t>
  </si>
  <si>
    <t>2025-09-28</t>
  </si>
  <si>
    <t>NG20250571</t>
  </si>
  <si>
    <t>NG20250572</t>
  </si>
  <si>
    <t>NG20250573</t>
  </si>
  <si>
    <t>NG20250574</t>
  </si>
  <si>
    <t>NG20250575</t>
  </si>
  <si>
    <t>2025-12-11</t>
  </si>
  <si>
    <t>NG20250576</t>
  </si>
  <si>
    <t>NG20250577</t>
  </si>
  <si>
    <t>NG20250578</t>
  </si>
  <si>
    <t>NG20250579</t>
  </si>
  <si>
    <t>2025-08-07</t>
  </si>
  <si>
    <t>NG20250580</t>
  </si>
  <si>
    <t>NG20250581</t>
  </si>
  <si>
    <t>2025-03-15</t>
  </si>
  <si>
    <t>NG20250582</t>
  </si>
  <si>
    <t>NG20250583</t>
  </si>
  <si>
    <t>NG20250584</t>
  </si>
  <si>
    <t>NG20250585</t>
  </si>
  <si>
    <t>NG20250586</t>
  </si>
  <si>
    <t>NG20250587</t>
  </si>
  <si>
    <t>2025-02-13</t>
  </si>
  <si>
    <t>NG20250588</t>
  </si>
  <si>
    <t>NG20250589</t>
  </si>
  <si>
    <t>NG20250590</t>
  </si>
  <si>
    <t>NG20250591</t>
  </si>
  <si>
    <t>NG20250592</t>
  </si>
  <si>
    <t>NG20250593</t>
  </si>
  <si>
    <t>NG20250594</t>
  </si>
  <si>
    <t>NG20250595</t>
  </si>
  <si>
    <t>NG20250596</t>
  </si>
  <si>
    <t>2025-12-22</t>
  </si>
  <si>
    <t>NG20250597</t>
  </si>
  <si>
    <t>NG20250598</t>
  </si>
  <si>
    <t>NG20250599</t>
  </si>
  <si>
    <t>NG20250600</t>
  </si>
  <si>
    <t>GrossRevenue</t>
  </si>
  <si>
    <t>NetRevenue</t>
  </si>
  <si>
    <t>TotalCost</t>
  </si>
  <si>
    <t>Profit</t>
  </si>
  <si>
    <t>Row Labels</t>
  </si>
  <si>
    <t>Grand Total</t>
  </si>
  <si>
    <t>Sum of NetRevenue</t>
  </si>
  <si>
    <t>SALES DASHBOARD</t>
  </si>
  <si>
    <t>KPI</t>
  </si>
  <si>
    <t>VALUE</t>
  </si>
  <si>
    <t>Net Revenue</t>
  </si>
  <si>
    <t>Total Cost</t>
  </si>
  <si>
    <t>Profit Margin %</t>
  </si>
  <si>
    <t>Column1</t>
  </si>
  <si>
    <t>OrderDate2</t>
  </si>
  <si>
    <t>Jan</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</si>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</sst>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70]* #,##0_-;\-[$₦-470]* #,##0_-;_-[$₦-470]* &quot;-&quot;_-;_-@_-"/>
    <numFmt numFmtId="165" formatCode="_-[$₦-471]\ * #,##0_-;\-[$₦-471]\ * #,##0_-;_-[$₦-471]\ * &quot;-&quot;_-;_-@_-"/>
    <numFmt numFmtId="173" formatCode="dd/mm/yyyy"/>
  </numFmts>
  <fonts count="5" x14ac:knownFonts="1">
    <font>
      <sz val="11"/>
      <color theme="1"/>
      <name val="Calibri"/>
      <family val="2"/>
      <scheme val="minor"/>
    </font>
    <font>
      <b/>
      <sz val="11"/>
      <color rgb="FFFFFFFF"/>
      <name val="Calibri"/>
    </font>
    <font>
      <b/>
      <sz val="16"/>
      <color theme="0"/>
      <name val="Calibri"/>
      <family val="2"/>
      <scheme val="minor"/>
    </font>
    <font>
      <sz val="20"/>
      <color theme="0"/>
      <name val="Arial"/>
      <family val="2"/>
    </font>
    <font>
      <sz val="36"/>
      <color theme="0"/>
      <name val="Arial Black"/>
      <family val="2"/>
    </font>
  </fonts>
  <fills count="7">
    <fill>
      <patternFill patternType="none"/>
    </fill>
    <fill>
      <patternFill patternType="gray125"/>
    </fill>
    <fill>
      <patternFill patternType="solid">
        <fgColor rgb="FF17365D"/>
      </patternFill>
    </fill>
    <fill>
      <patternFill patternType="solid">
        <fgColor rgb="FF17365D"/>
        <bgColor indexed="64"/>
      </patternFill>
    </fill>
    <fill>
      <patternFill patternType="solid">
        <fgColor theme="1"/>
        <bgColor indexed="64"/>
      </patternFill>
    </fill>
    <fill>
      <patternFill patternType="solid">
        <fgColor theme="4"/>
        <bgColor theme="4"/>
      </patternFill>
    </fill>
    <fill>
      <patternFill patternType="solid">
        <fgColor theme="4"/>
        <bgColor indexed="64"/>
      </patternFill>
    </fill>
  </fills>
  <borders count="4">
    <border>
      <left/>
      <right/>
      <top/>
      <bottom/>
      <diagonal/>
    </border>
    <border>
      <left style="thin">
        <color auto="1"/>
      </left>
      <right style="thin">
        <color auto="1"/>
      </right>
      <top/>
      <bottom style="thin">
        <color auto="1"/>
      </bottom>
      <diagonal/>
    </border>
    <border>
      <left style="thin">
        <color theme="0"/>
      </left>
      <right style="thin">
        <color theme="0"/>
      </right>
      <top style="thick">
        <color theme="0"/>
      </top>
      <bottom/>
      <diagonal/>
    </border>
    <border>
      <left style="thin">
        <color theme="0"/>
      </left>
      <right/>
      <top style="thick">
        <color theme="0"/>
      </top>
      <bottom/>
      <diagonal/>
    </border>
  </borders>
  <cellStyleXfs count="1">
    <xf numFmtId="0" fontId="0" fillId="0" borderId="0"/>
  </cellStyleXfs>
  <cellXfs count="23">
    <xf numFmtId="0" fontId="0" fillId="0" borderId="0" xfId="0"/>
    <xf numFmtId="0" fontId="1" fillId="2" borderId="1" xfId="0" applyFont="1" applyFill="1" applyBorder="1" applyAlignment="1">
      <alignment vertical="center" wrapText="1"/>
    </xf>
    <xf numFmtId="164" fontId="1" fillId="2" borderId="1" xfId="0" applyNumberFormat="1" applyFont="1" applyFill="1" applyBorder="1" applyAlignment="1">
      <alignment vertical="center" wrapText="1"/>
    </xf>
    <xf numFmtId="164" fontId="0" fillId="0" borderId="0" xfId="0" applyNumberFormat="1"/>
    <xf numFmtId="164" fontId="1" fillId="3" borderId="1" xfId="0" applyNumberFormat="1" applyFont="1" applyFill="1" applyBorder="1" applyAlignment="1">
      <alignment vertical="center" wrapText="1"/>
    </xf>
    <xf numFmtId="0" fontId="0" fillId="0" borderId="0" xfId="0" pivotButton="1"/>
    <xf numFmtId="0" fontId="0" fillId="0" borderId="0" xfId="0" applyAlignment="1">
      <alignment horizontal="left"/>
    </xf>
    <xf numFmtId="0" fontId="1" fillId="3" borderId="1" xfId="0" applyFont="1" applyFill="1" applyBorder="1" applyAlignment="1">
      <alignment vertical="center" wrapText="1"/>
    </xf>
    <xf numFmtId="0" fontId="0" fillId="4" borderId="0" xfId="0" applyFill="1"/>
    <xf numFmtId="165" fontId="0" fillId="0" borderId="0" xfId="0" applyNumberFormat="1"/>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165" fontId="2" fillId="5" borderId="2" xfId="0" applyNumberFormat="1" applyFont="1" applyFill="1" applyBorder="1"/>
    <xf numFmtId="164" fontId="2" fillId="5" borderId="2" xfId="0" applyNumberFormat="1" applyFont="1" applyFill="1" applyBorder="1"/>
    <xf numFmtId="164" fontId="2" fillId="5" borderId="3" xfId="0" applyNumberFormat="1" applyFont="1" applyFill="1" applyBorder="1"/>
    <xf numFmtId="0" fontId="3" fillId="6" borderId="0" xfId="0" applyFont="1" applyFill="1"/>
    <xf numFmtId="10" fontId="2" fillId="5" borderId="2" xfId="0" applyNumberFormat="1" applyFont="1" applyFill="1" applyBorder="1"/>
    <xf numFmtId="0" fontId="0" fillId="4" borderId="0" xfId="0" applyFill="1" applyAlignment="1">
      <alignment horizontal="center"/>
    </xf>
    <xf numFmtId="173" fontId="1" fillId="2" borderId="1" xfId="0" applyNumberFormat="1" applyFont="1" applyFill="1" applyBorder="1" applyAlignment="1">
      <alignment vertical="center" wrapText="1"/>
    </xf>
    <xf numFmtId="173" fontId="0" fillId="0" borderId="0" xfId="0" applyNumberFormat="1"/>
    <xf numFmtId="0" fontId="0" fillId="0" borderId="0" xfId="0" applyNumberFormat="1"/>
    <xf numFmtId="0" fontId="4" fillId="4" borderId="0" xfId="0" applyFont="1" applyFill="1" applyAlignment="1">
      <alignment horizontal="center"/>
    </xf>
  </cellXfs>
  <cellStyles count="1">
    <cellStyle name="Normal" xfId="0" builtinId="0"/>
  </cellStyles>
  <dxfs count="20">
    <dxf>
      <numFmt numFmtId="173" formatCode="dd/mm/yyyy"/>
    </dxf>
    <dxf>
      <font>
        <color rgb="FF9C0006"/>
      </font>
      <fill>
        <patternFill>
          <bgColor rgb="FFFFC7CE"/>
        </patternFill>
      </fill>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_-[$₦-471]\ * #,##0_-;\-[$₦-471]\ * #,##0_-;_-[$₦-471]\ *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762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762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762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a:glow rad="76200">
                <a:schemeClr val="accent1">
                  <a:alpha val="40000"/>
                </a:schemeClr>
              </a:glow>
            </a:effectLst>
          </c:spPr>
          <c:invertIfNegative val="0"/>
          <c:cat>
            <c:strRef>
              <c:f>'Pivot Tables'!$A$2:$A$14</c:f>
              <c:strCache>
                <c:ptCount val="12"/>
                <c:pt idx="0">
                  <c:v>Blender</c:v>
                </c:pt>
                <c:pt idx="1">
                  <c:v>Cooking Oil 5L</c:v>
                </c:pt>
                <c:pt idx="2">
                  <c:v>Laptop</c:v>
                </c:pt>
                <c:pt idx="3">
                  <c:v>Microwave</c:v>
                </c:pt>
                <c:pt idx="4">
                  <c:v>Office Chair</c:v>
                </c:pt>
                <c:pt idx="5">
                  <c:v>Office Desk</c:v>
                </c:pt>
                <c:pt idx="6">
                  <c:v>Printer</c:v>
                </c:pt>
                <c:pt idx="7">
                  <c:v>Rice 50kg</c:v>
                </c:pt>
                <c:pt idx="8">
                  <c:v>School Bag</c:v>
                </c:pt>
                <c:pt idx="9">
                  <c:v>Smartphone</c:v>
                </c:pt>
                <c:pt idx="10">
                  <c:v>Sneakers</c:v>
                </c:pt>
                <c:pt idx="11">
                  <c:v>Tablet</c:v>
                </c:pt>
              </c:strCache>
            </c:strRef>
          </c:cat>
          <c:val>
            <c:numRef>
              <c:f>'Pivot Tables'!$B$2:$B$14</c:f>
              <c:numCache>
                <c:formatCode>General</c:formatCode>
                <c:ptCount val="12"/>
                <c:pt idx="0">
                  <c:v>11678040</c:v>
                </c:pt>
                <c:pt idx="1">
                  <c:v>3549271.25</c:v>
                </c:pt>
                <c:pt idx="2">
                  <c:v>86729625</c:v>
                </c:pt>
                <c:pt idx="3">
                  <c:v>15939062.5</c:v>
                </c:pt>
                <c:pt idx="4">
                  <c:v>16563487.5</c:v>
                </c:pt>
                <c:pt idx="5">
                  <c:v>28268625</c:v>
                </c:pt>
                <c:pt idx="6">
                  <c:v>25875200</c:v>
                </c:pt>
                <c:pt idx="7">
                  <c:v>20572487.5</c:v>
                </c:pt>
                <c:pt idx="8">
                  <c:v>4004495</c:v>
                </c:pt>
                <c:pt idx="9">
                  <c:v>58020200</c:v>
                </c:pt>
                <c:pt idx="10">
                  <c:v>7827120</c:v>
                </c:pt>
                <c:pt idx="11">
                  <c:v>36170100</c:v>
                </c:pt>
              </c:numCache>
            </c:numRef>
          </c:val>
          <c:extLst>
            <c:ext xmlns:c16="http://schemas.microsoft.com/office/drawing/2014/chart" uri="{C3380CC4-5D6E-409C-BE32-E72D297353CC}">
              <c16:uniqueId val="{00000000-7F2A-473C-AE67-10D321CD3879}"/>
            </c:ext>
          </c:extLst>
        </c:ser>
        <c:dLbls>
          <c:showLegendKey val="0"/>
          <c:showVal val="0"/>
          <c:showCatName val="0"/>
          <c:showSerName val="0"/>
          <c:showPercent val="0"/>
          <c:showBubbleSize val="0"/>
        </c:dLbls>
        <c:gapWidth val="189"/>
        <c:overlap val="53"/>
        <c:axId val="546589408"/>
        <c:axId val="546592288"/>
      </c:barChart>
      <c:catAx>
        <c:axId val="54658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Product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92288"/>
        <c:crosses val="autoZero"/>
        <c:auto val="1"/>
        <c:lblAlgn val="ctr"/>
        <c:lblOffset val="100"/>
        <c:noMultiLvlLbl val="0"/>
      </c:catAx>
      <c:valAx>
        <c:axId val="546592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8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857108384436629E-2"/>
          <c:y val="0.28006234466489743"/>
          <c:w val="0.64688788901387329"/>
          <c:h val="0.62966589470433842"/>
        </c:manualLayout>
      </c:layout>
      <c:pie3DChart>
        <c:varyColors val="1"/>
        <c:ser>
          <c:idx val="0"/>
          <c:order val="0"/>
          <c:tx>
            <c:strRef>
              <c:f>'Pivot Tables'!$E$1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D92-4FD9-999E-153CEDC8DF0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D92-4FD9-999E-153CEDC8DF0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D92-4FD9-999E-153CEDC8DF0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D92-4FD9-999E-153CEDC8DF0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D92-4FD9-999E-153CEDC8DF0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3D92-4FD9-999E-153CEDC8DF0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3D92-4FD9-999E-153CEDC8DF0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3D92-4FD9-999E-153CEDC8DF0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3D92-4FD9-999E-153CEDC8DF0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9-3D92-4FD9-999E-153CEDC8DF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Tables'!$D$2:$D$7</c:f>
              <c:strCache>
                <c:ptCount val="5"/>
                <c:pt idx="0">
                  <c:v>North Central</c:v>
                </c:pt>
                <c:pt idx="1">
                  <c:v>North West</c:v>
                </c:pt>
                <c:pt idx="2">
                  <c:v>South East</c:v>
                </c:pt>
                <c:pt idx="3">
                  <c:v>South South</c:v>
                </c:pt>
                <c:pt idx="4">
                  <c:v>South West</c:v>
                </c:pt>
              </c:strCache>
            </c:strRef>
          </c:cat>
          <c:val>
            <c:numRef>
              <c:f>'Pivot Tables'!$E$2:$E$7</c:f>
              <c:numCache>
                <c:formatCode>General</c:formatCode>
                <c:ptCount val="5"/>
                <c:pt idx="0">
                  <c:v>83536116.25</c:v>
                </c:pt>
                <c:pt idx="1">
                  <c:v>46390623.75</c:v>
                </c:pt>
                <c:pt idx="2">
                  <c:v>49310227.5</c:v>
                </c:pt>
                <c:pt idx="3">
                  <c:v>65123238.75</c:v>
                </c:pt>
                <c:pt idx="4">
                  <c:v>70837507.5</c:v>
                </c:pt>
              </c:numCache>
            </c:numRef>
          </c:val>
          <c:extLst>
            <c:ext xmlns:c16="http://schemas.microsoft.com/office/drawing/2014/chart" uri="{C3380CC4-5D6E-409C-BE32-E72D297353CC}">
              <c16:uniqueId val="{0000000A-3D92-4FD9-999E-153CEDC8DF0B}"/>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Tables'!$J$2:$J$13</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'Pivot Tables'!$K$2:$K$13</c:f>
              <c:numCache>
                <c:formatCode>General</c:formatCode>
                <c:ptCount val="11"/>
                <c:pt idx="0">
                  <c:v>30530935</c:v>
                </c:pt>
                <c:pt idx="1">
                  <c:v>27794261.25</c:v>
                </c:pt>
                <c:pt idx="2">
                  <c:v>29540587.5</c:v>
                </c:pt>
                <c:pt idx="3">
                  <c:v>32647425</c:v>
                </c:pt>
                <c:pt idx="4">
                  <c:v>32039506.25</c:v>
                </c:pt>
                <c:pt idx="5">
                  <c:v>22637620</c:v>
                </c:pt>
                <c:pt idx="6">
                  <c:v>28982813.75</c:v>
                </c:pt>
                <c:pt idx="7">
                  <c:v>25421337.5</c:v>
                </c:pt>
                <c:pt idx="8">
                  <c:v>28510238.75</c:v>
                </c:pt>
                <c:pt idx="9">
                  <c:v>33091758.75</c:v>
                </c:pt>
                <c:pt idx="10">
                  <c:v>24001230</c:v>
                </c:pt>
              </c:numCache>
            </c:numRef>
          </c:val>
          <c:smooth val="0"/>
          <c:extLst>
            <c:ext xmlns:c16="http://schemas.microsoft.com/office/drawing/2014/chart" uri="{C3380CC4-5D6E-409C-BE32-E72D297353CC}">
              <c16:uniqueId val="{00000001-3E93-4438-9C3C-B6A85345B379}"/>
            </c:ext>
          </c:extLst>
        </c:ser>
        <c:dLbls>
          <c:showLegendKey val="0"/>
          <c:showVal val="0"/>
          <c:showCatName val="0"/>
          <c:showSerName val="0"/>
          <c:showPercent val="0"/>
          <c:showBubbleSize val="0"/>
        </c:dLbls>
        <c:smooth val="0"/>
        <c:axId val="654142472"/>
        <c:axId val="654143912"/>
      </c:lineChart>
      <c:catAx>
        <c:axId val="654142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OrderDate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43912"/>
        <c:crosses val="autoZero"/>
        <c:auto val="1"/>
        <c:lblAlgn val="ctr"/>
        <c:lblOffset val="100"/>
        <c:noMultiLvlLbl val="0"/>
      </c:catAx>
      <c:valAx>
        <c:axId val="654143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42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762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762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762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a:glow rad="76200">
                <a:schemeClr val="accent1">
                  <a:alpha val="40000"/>
                </a:schemeClr>
              </a:glow>
            </a:effectLst>
          </c:spPr>
          <c:invertIfNegative val="0"/>
          <c:cat>
            <c:strRef>
              <c:f>'Pivot Tables'!$A$2:$A$14</c:f>
              <c:strCache>
                <c:ptCount val="12"/>
                <c:pt idx="0">
                  <c:v>Blender</c:v>
                </c:pt>
                <c:pt idx="1">
                  <c:v>Cooking Oil 5L</c:v>
                </c:pt>
                <c:pt idx="2">
                  <c:v>Laptop</c:v>
                </c:pt>
                <c:pt idx="3">
                  <c:v>Microwave</c:v>
                </c:pt>
                <c:pt idx="4">
                  <c:v>Office Chair</c:v>
                </c:pt>
                <c:pt idx="5">
                  <c:v>Office Desk</c:v>
                </c:pt>
                <c:pt idx="6">
                  <c:v>Printer</c:v>
                </c:pt>
                <c:pt idx="7">
                  <c:v>Rice 50kg</c:v>
                </c:pt>
                <c:pt idx="8">
                  <c:v>School Bag</c:v>
                </c:pt>
                <c:pt idx="9">
                  <c:v>Smartphone</c:v>
                </c:pt>
                <c:pt idx="10">
                  <c:v>Sneakers</c:v>
                </c:pt>
                <c:pt idx="11">
                  <c:v>Tablet</c:v>
                </c:pt>
              </c:strCache>
            </c:strRef>
          </c:cat>
          <c:val>
            <c:numRef>
              <c:f>'Pivot Tables'!$B$2:$B$14</c:f>
              <c:numCache>
                <c:formatCode>General</c:formatCode>
                <c:ptCount val="12"/>
                <c:pt idx="0">
                  <c:v>11678040</c:v>
                </c:pt>
                <c:pt idx="1">
                  <c:v>3549271.25</c:v>
                </c:pt>
                <c:pt idx="2">
                  <c:v>86729625</c:v>
                </c:pt>
                <c:pt idx="3">
                  <c:v>15939062.5</c:v>
                </c:pt>
                <c:pt idx="4">
                  <c:v>16563487.5</c:v>
                </c:pt>
                <c:pt idx="5">
                  <c:v>28268625</c:v>
                </c:pt>
                <c:pt idx="6">
                  <c:v>25875200</c:v>
                </c:pt>
                <c:pt idx="7">
                  <c:v>20572487.5</c:v>
                </c:pt>
                <c:pt idx="8">
                  <c:v>4004495</c:v>
                </c:pt>
                <c:pt idx="9">
                  <c:v>58020200</c:v>
                </c:pt>
                <c:pt idx="10">
                  <c:v>7827120</c:v>
                </c:pt>
                <c:pt idx="11">
                  <c:v>36170100</c:v>
                </c:pt>
              </c:numCache>
            </c:numRef>
          </c:val>
          <c:extLst>
            <c:ext xmlns:c16="http://schemas.microsoft.com/office/drawing/2014/chart" uri="{C3380CC4-5D6E-409C-BE32-E72D297353CC}">
              <c16:uniqueId val="{00000000-E1D8-4C86-91FE-AE34B8637F72}"/>
            </c:ext>
          </c:extLst>
        </c:ser>
        <c:dLbls>
          <c:showLegendKey val="0"/>
          <c:showVal val="0"/>
          <c:showCatName val="0"/>
          <c:showSerName val="0"/>
          <c:showPercent val="0"/>
          <c:showBubbleSize val="0"/>
        </c:dLbls>
        <c:gapWidth val="189"/>
        <c:overlap val="13"/>
        <c:axId val="546589408"/>
        <c:axId val="546592288"/>
      </c:barChart>
      <c:catAx>
        <c:axId val="54658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Product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92288"/>
        <c:crosses val="autoZero"/>
        <c:auto val="1"/>
        <c:lblAlgn val="ctr"/>
        <c:lblOffset val="100"/>
        <c:noMultiLvlLbl val="0"/>
      </c:catAx>
      <c:valAx>
        <c:axId val="546592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8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pivotFmt>
      <c:pivotFmt>
        <c:idx val="2"/>
        <c:spPr>
          <a:solidFill>
            <a:schemeClr val="accent1"/>
          </a:solidFill>
          <a:ln w="19050">
            <a:solidFill>
              <a:schemeClr val="lt1"/>
            </a:solidFill>
          </a:ln>
          <a:effectLst/>
          <a:sp3d contourW="19050">
            <a:contourClr>
              <a:schemeClr val="lt1"/>
            </a:contourClr>
          </a:sp3d>
        </c:spPr>
      </c:pivotFmt>
      <c:pivotFmt>
        <c:idx val="3"/>
        <c:spPr>
          <a:solidFill>
            <a:schemeClr val="accent1"/>
          </a:solidFill>
          <a:ln w="19050">
            <a:solidFill>
              <a:schemeClr val="lt1"/>
            </a:solidFill>
          </a:ln>
          <a:effectLst/>
          <a:sp3d contourW="19050">
            <a:contourClr>
              <a:schemeClr val="lt1"/>
            </a:contourClr>
          </a:sp3d>
        </c:spPr>
      </c:pivotFmt>
      <c:pivotFmt>
        <c:idx val="4"/>
        <c:spPr>
          <a:solidFill>
            <a:schemeClr val="accent1"/>
          </a:solidFill>
          <a:ln w="19050">
            <a:solidFill>
              <a:schemeClr val="lt1"/>
            </a:solidFill>
          </a:ln>
          <a:effectLst/>
          <a:sp3d contourW="19050">
            <a:contourClr>
              <a:schemeClr val="lt1"/>
            </a:contourClr>
          </a:sp3d>
        </c:spPr>
      </c:pivotFmt>
      <c:pivotFmt>
        <c:idx val="5"/>
        <c:spPr>
          <a:solidFill>
            <a:schemeClr val="accent1"/>
          </a:solidFill>
          <a:ln w="19050">
            <a:solidFill>
              <a:schemeClr val="lt1"/>
            </a:solidFill>
          </a:ln>
          <a:effectLst/>
          <a:sp3d contourW="19050">
            <a:contourClr>
              <a:schemeClr val="lt1"/>
            </a:contourClr>
          </a:sp3d>
        </c:spPr>
      </c:pivotFmt>
      <c:pivotFmt>
        <c:idx val="6"/>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p3d contourW="19050">
            <a:contourClr>
              <a:schemeClr val="lt1"/>
            </a:contourClr>
          </a:sp3d>
        </c:spPr>
      </c:pivotFmt>
      <c:pivotFmt>
        <c:idx val="8"/>
        <c:spPr>
          <a:solidFill>
            <a:schemeClr val="accent1"/>
          </a:solidFill>
          <a:ln w="19050">
            <a:solidFill>
              <a:schemeClr val="lt1"/>
            </a:solidFill>
          </a:ln>
          <a:effectLst/>
          <a:sp3d contourW="19050">
            <a:contourClr>
              <a:schemeClr val="lt1"/>
            </a:contourClr>
          </a:sp3d>
        </c:spPr>
      </c:pivotFmt>
      <c:pivotFmt>
        <c:idx val="9"/>
        <c:spPr>
          <a:solidFill>
            <a:schemeClr val="accent1"/>
          </a:solidFill>
          <a:ln w="19050">
            <a:solidFill>
              <a:schemeClr val="lt1"/>
            </a:solidFill>
          </a:ln>
          <a:effectLst/>
          <a:sp3d contourW="19050">
            <a:contourClr>
              <a:schemeClr val="lt1"/>
            </a:contourClr>
          </a:sp3d>
        </c:spPr>
      </c:pivotFmt>
      <c:pivotFmt>
        <c:idx val="10"/>
        <c:spPr>
          <a:solidFill>
            <a:schemeClr val="accent1"/>
          </a:solidFill>
          <a:ln w="19050">
            <a:solidFill>
              <a:schemeClr val="lt1"/>
            </a:solidFill>
          </a:ln>
          <a:effectLst/>
          <a:sp3d contourW="19050">
            <a:contourClr>
              <a:schemeClr val="lt1"/>
            </a:contourClr>
          </a:sp3d>
        </c:spPr>
      </c:pivotFmt>
      <c:pivotFmt>
        <c:idx val="11"/>
        <c:spPr>
          <a:solidFill>
            <a:schemeClr val="accent1"/>
          </a:solidFill>
          <a:ln w="19050">
            <a:solidFill>
              <a:schemeClr val="lt1"/>
            </a:solidFill>
          </a:ln>
          <a:effectLst/>
          <a:sp3d contourW="19050">
            <a:contourClr>
              <a:schemeClr val="lt1"/>
            </a:contourClr>
          </a:sp3d>
        </c:spPr>
      </c:pivotFmt>
      <c:pivotFmt>
        <c:idx val="12"/>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sp3d contourW="19050">
            <a:contourClr>
              <a:schemeClr val="lt1"/>
            </a:contourClr>
          </a:sp3d>
        </c:spPr>
      </c:pivotFmt>
      <c:pivotFmt>
        <c:idx val="14"/>
        <c:spPr>
          <a:solidFill>
            <a:schemeClr val="accent1"/>
          </a:solidFill>
          <a:ln w="19050">
            <a:solidFill>
              <a:schemeClr val="lt1"/>
            </a:solidFill>
          </a:ln>
          <a:effectLst/>
          <a:sp3d contourW="19050">
            <a:contourClr>
              <a:schemeClr val="lt1"/>
            </a:contourClr>
          </a:sp3d>
        </c:spPr>
      </c:pivotFmt>
      <c:pivotFmt>
        <c:idx val="15"/>
        <c:spPr>
          <a:solidFill>
            <a:schemeClr val="accent1"/>
          </a:solidFill>
          <a:ln w="19050">
            <a:solidFill>
              <a:schemeClr val="lt1"/>
            </a:solidFill>
          </a:ln>
          <a:effectLst/>
          <a:sp3d contourW="19050">
            <a:contourClr>
              <a:schemeClr val="lt1"/>
            </a:contourClr>
          </a:sp3d>
        </c:spPr>
      </c:pivotFmt>
      <c:pivotFmt>
        <c:idx val="16"/>
        <c:spPr>
          <a:solidFill>
            <a:schemeClr val="accent1"/>
          </a:solidFill>
          <a:ln w="19050">
            <a:solidFill>
              <a:schemeClr val="lt1"/>
            </a:solidFill>
          </a:ln>
          <a:effectLst/>
          <a:sp3d contourW="19050">
            <a:contourClr>
              <a:schemeClr val="lt1"/>
            </a:contourClr>
          </a:sp3d>
        </c:spPr>
      </c:pivotFmt>
      <c:pivotFmt>
        <c:idx val="17"/>
        <c:spPr>
          <a:solidFill>
            <a:schemeClr val="accent1"/>
          </a:solidFill>
          <a:ln w="19050">
            <a:solidFill>
              <a:schemeClr val="lt1"/>
            </a:solidFill>
          </a:ln>
          <a:effectLst/>
          <a:sp3d contourW="1905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Tables'!$E$1</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6D1A-4379-A3E8-7FAD7340C5E1}"/>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6D1A-4379-A3E8-7FAD7340C5E1}"/>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6D1A-4379-A3E8-7FAD7340C5E1}"/>
              </c:ext>
            </c:extLst>
          </c:dPt>
          <c:dPt>
            <c:idx val="3"/>
            <c:bubble3D val="0"/>
            <c:spPr>
              <a:solidFill>
                <a:schemeClr val="accent4"/>
              </a:solidFill>
              <a:ln w="19050">
                <a:solidFill>
                  <a:schemeClr val="lt1"/>
                </a:solidFill>
              </a:ln>
              <a:effectLst/>
              <a:sp3d contourW="19050">
                <a:contourClr>
                  <a:schemeClr val="lt1"/>
                </a:contourClr>
              </a:sp3d>
            </c:spPr>
            <c:extLst>
              <c:ext xmlns:c16="http://schemas.microsoft.com/office/drawing/2014/chart" uri="{C3380CC4-5D6E-409C-BE32-E72D297353CC}">
                <c16:uniqueId val="{00000007-6D1A-4379-A3E8-7FAD7340C5E1}"/>
              </c:ext>
            </c:extLst>
          </c:dPt>
          <c:dPt>
            <c:idx val="4"/>
            <c:bubble3D val="0"/>
            <c:spPr>
              <a:solidFill>
                <a:schemeClr val="accent5"/>
              </a:solidFill>
              <a:ln w="19050">
                <a:solidFill>
                  <a:schemeClr val="lt1"/>
                </a:solidFill>
              </a:ln>
              <a:effectLst/>
              <a:sp3d contourW="19050">
                <a:contourClr>
                  <a:schemeClr val="lt1"/>
                </a:contourClr>
              </a:sp3d>
            </c:spPr>
            <c:extLst>
              <c:ext xmlns:c16="http://schemas.microsoft.com/office/drawing/2014/chart" uri="{C3380CC4-5D6E-409C-BE32-E72D297353CC}">
                <c16:uniqueId val="{00000009-6D1A-4379-A3E8-7FAD7340C5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Tables'!$D$2:$D$7</c:f>
              <c:strCache>
                <c:ptCount val="5"/>
                <c:pt idx="0">
                  <c:v>North Central</c:v>
                </c:pt>
                <c:pt idx="1">
                  <c:v>North West</c:v>
                </c:pt>
                <c:pt idx="2">
                  <c:v>South East</c:v>
                </c:pt>
                <c:pt idx="3">
                  <c:v>South South</c:v>
                </c:pt>
                <c:pt idx="4">
                  <c:v>South West</c:v>
                </c:pt>
              </c:strCache>
            </c:strRef>
          </c:cat>
          <c:val>
            <c:numRef>
              <c:f>'Pivot Tables'!$E$2:$E$7</c:f>
              <c:numCache>
                <c:formatCode>General</c:formatCode>
                <c:ptCount val="5"/>
                <c:pt idx="0">
                  <c:v>83536116.25</c:v>
                </c:pt>
                <c:pt idx="1">
                  <c:v>46390623.75</c:v>
                </c:pt>
                <c:pt idx="2">
                  <c:v>49310227.5</c:v>
                </c:pt>
                <c:pt idx="3">
                  <c:v>65123238.75</c:v>
                </c:pt>
                <c:pt idx="4">
                  <c:v>70837507.5</c:v>
                </c:pt>
              </c:numCache>
            </c:numRef>
          </c:val>
          <c:extLst>
            <c:ext xmlns:c16="http://schemas.microsoft.com/office/drawing/2014/chart" uri="{C3380CC4-5D6E-409C-BE32-E72D297353CC}">
              <c16:uniqueId val="{0000000A-6D1A-4379-A3E8-7FAD7340C5E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1586843311252757"/>
          <c:y val="0.35062486894894573"/>
          <c:w val="0.26032204307794859"/>
          <c:h val="0.36682467749029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SalesChannel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Tables'!$E$9</c:f>
              <c:strCache>
                <c:ptCount val="1"/>
                <c:pt idx="0">
                  <c:v>Total</c:v>
                </c:pt>
              </c:strCache>
            </c:strRef>
          </c:tx>
          <c:spPr>
            <a:solidFill>
              <a:schemeClr val="accent1"/>
            </a:solidFill>
            <a:ln>
              <a:noFill/>
            </a:ln>
            <a:effectLst/>
            <a:sp3d/>
          </c:spPr>
          <c:invertIfNegative val="0"/>
          <c:cat>
            <c:strRef>
              <c:f>'Pivot Tables'!$D$10:$D$14</c:f>
              <c:strCache>
                <c:ptCount val="4"/>
                <c:pt idx="0">
                  <c:v>In-Store</c:v>
                </c:pt>
                <c:pt idx="1">
                  <c:v>Online</c:v>
                </c:pt>
                <c:pt idx="2">
                  <c:v>Phone Order</c:v>
                </c:pt>
                <c:pt idx="3">
                  <c:v>WhatsApp</c:v>
                </c:pt>
              </c:strCache>
            </c:strRef>
          </c:cat>
          <c:val>
            <c:numRef>
              <c:f>'Pivot Tables'!$E$10:$E$14</c:f>
              <c:numCache>
                <c:formatCode>General</c:formatCode>
                <c:ptCount val="4"/>
                <c:pt idx="0">
                  <c:v>80396288.75</c:v>
                </c:pt>
                <c:pt idx="1">
                  <c:v>85234277.5</c:v>
                </c:pt>
                <c:pt idx="2">
                  <c:v>95884393.75</c:v>
                </c:pt>
                <c:pt idx="3">
                  <c:v>80955086.25</c:v>
                </c:pt>
              </c:numCache>
            </c:numRef>
          </c:val>
          <c:extLst>
            <c:ext xmlns:c16="http://schemas.microsoft.com/office/drawing/2014/chart" uri="{C3380CC4-5D6E-409C-BE32-E72D297353CC}">
              <c16:uniqueId val="{00000000-55D1-4F97-8E23-93BC1E6595C2}"/>
            </c:ext>
          </c:extLst>
        </c:ser>
        <c:dLbls>
          <c:showLegendKey val="0"/>
          <c:showVal val="0"/>
          <c:showCatName val="0"/>
          <c:showSerName val="0"/>
          <c:showPercent val="0"/>
          <c:showBubbleSize val="0"/>
        </c:dLbls>
        <c:gapWidth val="150"/>
        <c:shape val="box"/>
        <c:axId val="546594808"/>
        <c:axId val="546595528"/>
        <c:axId val="0"/>
      </c:bar3DChart>
      <c:catAx>
        <c:axId val="546594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SalesChannel</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95528"/>
        <c:crosses val="autoZero"/>
        <c:auto val="1"/>
        <c:lblAlgn val="ctr"/>
        <c:lblOffset val="100"/>
        <c:noMultiLvlLbl val="0"/>
      </c:catAx>
      <c:valAx>
        <c:axId val="546595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94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SalesRep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Tables'!$G$2:$G$10</c:f>
              <c:strCache>
                <c:ptCount val="8"/>
                <c:pt idx="0">
                  <c:v>Ada</c:v>
                </c:pt>
                <c:pt idx="1">
                  <c:v>Blessing</c:v>
                </c:pt>
                <c:pt idx="2">
                  <c:v>Chidinma</c:v>
                </c:pt>
                <c:pt idx="3">
                  <c:v>David</c:v>
                </c:pt>
                <c:pt idx="4">
                  <c:v>Grace</c:v>
                </c:pt>
                <c:pt idx="5">
                  <c:v>Ibrahim</c:v>
                </c:pt>
                <c:pt idx="6">
                  <c:v>Musa</c:v>
                </c:pt>
                <c:pt idx="7">
                  <c:v>Peter</c:v>
                </c:pt>
              </c:strCache>
            </c:strRef>
          </c:cat>
          <c:val>
            <c:numRef>
              <c:f>'Pivot Tables'!$H$2:$H$10</c:f>
              <c:numCache>
                <c:formatCode>General</c:formatCode>
                <c:ptCount val="8"/>
                <c:pt idx="0">
                  <c:v>40970980</c:v>
                </c:pt>
                <c:pt idx="1">
                  <c:v>39404197.5</c:v>
                </c:pt>
                <c:pt idx="2">
                  <c:v>44446971.25</c:v>
                </c:pt>
                <c:pt idx="3">
                  <c:v>53780872.5</c:v>
                </c:pt>
                <c:pt idx="4">
                  <c:v>55354253.75</c:v>
                </c:pt>
                <c:pt idx="5">
                  <c:v>35655781.25</c:v>
                </c:pt>
                <c:pt idx="6">
                  <c:v>36919940</c:v>
                </c:pt>
                <c:pt idx="7">
                  <c:v>35937050</c:v>
                </c:pt>
              </c:numCache>
            </c:numRef>
          </c:val>
          <c:extLst>
            <c:ext xmlns:c16="http://schemas.microsoft.com/office/drawing/2014/chart" uri="{C3380CC4-5D6E-409C-BE32-E72D297353CC}">
              <c16:uniqueId val="{00000000-9BC8-4683-AED6-420DB325DC83}"/>
            </c:ext>
          </c:extLst>
        </c:ser>
        <c:dLbls>
          <c:showLegendKey val="0"/>
          <c:showVal val="0"/>
          <c:showCatName val="0"/>
          <c:showSerName val="0"/>
          <c:showPercent val="0"/>
          <c:showBubbleSize val="0"/>
        </c:dLbls>
        <c:gapWidth val="182"/>
        <c:axId val="651641352"/>
        <c:axId val="651642792"/>
      </c:barChart>
      <c:catAx>
        <c:axId val="651641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SalesRep</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2792"/>
        <c:crosses val="autoZero"/>
        <c:auto val="1"/>
        <c:lblAlgn val="ctr"/>
        <c:lblOffset val="100"/>
        <c:noMultiLvlLbl val="0"/>
      </c:catAx>
      <c:valAx>
        <c:axId val="6516427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Revenue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1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Tables'!$J$2:$J$13</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'Pivot Tables'!$K$2:$K$13</c:f>
              <c:numCache>
                <c:formatCode>General</c:formatCode>
                <c:ptCount val="11"/>
                <c:pt idx="0">
                  <c:v>30530935</c:v>
                </c:pt>
                <c:pt idx="1">
                  <c:v>27794261.25</c:v>
                </c:pt>
                <c:pt idx="2">
                  <c:v>29540587.5</c:v>
                </c:pt>
                <c:pt idx="3">
                  <c:v>32647425</c:v>
                </c:pt>
                <c:pt idx="4">
                  <c:v>32039506.25</c:v>
                </c:pt>
                <c:pt idx="5">
                  <c:v>22637620</c:v>
                </c:pt>
                <c:pt idx="6">
                  <c:v>28982813.75</c:v>
                </c:pt>
                <c:pt idx="7">
                  <c:v>25421337.5</c:v>
                </c:pt>
                <c:pt idx="8">
                  <c:v>28510238.75</c:v>
                </c:pt>
                <c:pt idx="9">
                  <c:v>33091758.75</c:v>
                </c:pt>
                <c:pt idx="10">
                  <c:v>24001230</c:v>
                </c:pt>
              </c:numCache>
            </c:numRef>
          </c:val>
          <c:smooth val="0"/>
          <c:extLst>
            <c:ext xmlns:c16="http://schemas.microsoft.com/office/drawing/2014/chart" uri="{C3380CC4-5D6E-409C-BE32-E72D297353CC}">
              <c16:uniqueId val="{00000001-6745-44A3-B92B-0137781E2EA6}"/>
            </c:ext>
          </c:extLst>
        </c:ser>
        <c:dLbls>
          <c:showLegendKey val="0"/>
          <c:showVal val="0"/>
          <c:showCatName val="0"/>
          <c:showSerName val="0"/>
          <c:showPercent val="0"/>
          <c:showBubbleSize val="0"/>
        </c:dLbls>
        <c:smooth val="0"/>
        <c:axId val="654142472"/>
        <c:axId val="654143912"/>
      </c:lineChart>
      <c:catAx>
        <c:axId val="654142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OrderDate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43912"/>
        <c:crosses val="autoZero"/>
        <c:auto val="1"/>
        <c:lblAlgn val="ctr"/>
        <c:lblOffset val="100"/>
        <c:noMultiLvlLbl val="0"/>
      </c:catAx>
      <c:valAx>
        <c:axId val="654143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42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456406</xdr:colOff>
      <xdr:row>5</xdr:row>
      <xdr:rowOff>99218</xdr:rowOff>
    </xdr:from>
    <xdr:to>
      <xdr:col>9</xdr:col>
      <xdr:colOff>184547</xdr:colOff>
      <xdr:row>22</xdr:row>
      <xdr:rowOff>142081</xdr:rowOff>
    </xdr:to>
    <xdr:graphicFrame macro="">
      <xdr:nvGraphicFramePr>
        <xdr:cNvPr id="2" name="Chart 1">
          <a:extLst>
            <a:ext uri="{FF2B5EF4-FFF2-40B4-BE49-F238E27FC236}">
              <a16:creationId xmlns:a16="http://schemas.microsoft.com/office/drawing/2014/main" id="{4447A552-C005-4A95-BA1B-14190B3B7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343298</xdr:colOff>
      <xdr:row>5</xdr:row>
      <xdr:rowOff>89297</xdr:rowOff>
    </xdr:from>
    <xdr:to>
      <xdr:col>17</xdr:col>
      <xdr:colOff>267098</xdr:colOff>
      <xdr:row>22</xdr:row>
      <xdr:rowOff>158750</xdr:rowOff>
    </xdr:to>
    <xdr:graphicFrame macro="">
      <xdr:nvGraphicFramePr>
        <xdr:cNvPr id="3" name="Chart 2">
          <a:extLst>
            <a:ext uri="{FF2B5EF4-FFF2-40B4-BE49-F238E27FC236}">
              <a16:creationId xmlns:a16="http://schemas.microsoft.com/office/drawing/2014/main" id="{08DEF31C-1A87-43F0-9C86-A95085C80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200422</xdr:colOff>
      <xdr:row>23</xdr:row>
      <xdr:rowOff>107949</xdr:rowOff>
    </xdr:from>
    <xdr:to>
      <xdr:col>14</xdr:col>
      <xdr:colOff>171847</xdr:colOff>
      <xdr:row>40</xdr:row>
      <xdr:rowOff>169862</xdr:rowOff>
    </xdr:to>
    <xdr:graphicFrame macro="">
      <xdr:nvGraphicFramePr>
        <xdr:cNvPr id="4" name="Chart 3">
          <a:extLst>
            <a:ext uri="{FF2B5EF4-FFF2-40B4-BE49-F238E27FC236}">
              <a16:creationId xmlns:a16="http://schemas.microsoft.com/office/drawing/2014/main" id="{52761998-513A-4CA2-864D-0B70F7008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161925</xdr:colOff>
      <xdr:row>5</xdr:row>
      <xdr:rowOff>28575</xdr:rowOff>
    </xdr:from>
    <xdr:to>
      <xdr:col>24</xdr:col>
      <xdr:colOff>161925</xdr:colOff>
      <xdr:row>18</xdr:row>
      <xdr:rowOff>76200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10C0E91-58DB-9AE2-9444-CB47CFDC33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71847" y="971153"/>
              <a:ext cx="1815703"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18</xdr:row>
      <xdr:rowOff>142875</xdr:rowOff>
    </xdr:from>
    <xdr:to>
      <xdr:col>21</xdr:col>
      <xdr:colOff>0</xdr:colOff>
      <xdr:row>32</xdr:row>
      <xdr:rowOff>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6D8A58A8-AAA4-345F-A3A0-8099742C24B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894219" y="3536156"/>
              <a:ext cx="1815703" cy="2496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152400</xdr:colOff>
      <xdr:row>18</xdr:row>
      <xdr:rowOff>142875</xdr:rowOff>
    </xdr:from>
    <xdr:to>
      <xdr:col>24</xdr:col>
      <xdr:colOff>152400</xdr:colOff>
      <xdr:row>32</xdr:row>
      <xdr:rowOff>0</xdr:rowOff>
    </xdr:to>
    <mc:AlternateContent xmlns:mc="http://schemas.openxmlformats.org/markup-compatibility/2006" xmlns:a14="http://schemas.microsoft.com/office/drawing/2010/main">
      <mc:Choice Requires="a14">
        <xdr:graphicFrame macro="">
          <xdr:nvGraphicFramePr>
            <xdr:cNvPr id="8" name="NetRevenue">
              <a:extLst>
                <a:ext uri="{FF2B5EF4-FFF2-40B4-BE49-F238E27FC236}">
                  <a16:creationId xmlns:a16="http://schemas.microsoft.com/office/drawing/2014/main" id="{376A5705-6714-5D5D-FB39-C4E25D43A50D}"/>
                </a:ext>
              </a:extLst>
            </xdr:cNvPr>
            <xdr:cNvGraphicFramePr/>
          </xdr:nvGraphicFramePr>
          <xdr:xfrm>
            <a:off x="0" y="0"/>
            <a:ext cx="0" cy="0"/>
          </xdr:xfrm>
          <a:graphic>
            <a:graphicData uri="http://schemas.microsoft.com/office/drawing/2010/slicer">
              <sle:slicer xmlns:sle="http://schemas.microsoft.com/office/drawing/2010/slicer" name="NetRevenue"/>
            </a:graphicData>
          </a:graphic>
        </xdr:graphicFrame>
      </mc:Choice>
      <mc:Fallback xmlns="">
        <xdr:sp macro="" textlink="">
          <xdr:nvSpPr>
            <xdr:cNvPr id="0" name=""/>
            <xdr:cNvSpPr>
              <a:spLocks noTextEdit="1"/>
            </xdr:cNvSpPr>
          </xdr:nvSpPr>
          <xdr:spPr>
            <a:xfrm>
              <a:off x="12862322" y="3536156"/>
              <a:ext cx="1815703" cy="2496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4763</xdr:colOff>
      <xdr:row>5</xdr:row>
      <xdr:rowOff>50007</xdr:rowOff>
    </xdr:from>
    <xdr:to>
      <xdr:col>21</xdr:col>
      <xdr:colOff>17860</xdr:colOff>
      <xdr:row>18</xdr:row>
      <xdr:rowOff>69454</xdr:rowOff>
    </xdr:to>
    <mc:AlternateContent xmlns:mc="http://schemas.openxmlformats.org/markup-compatibility/2006">
      <mc:Choice xmlns:a14="http://schemas.microsoft.com/office/drawing/2010/main" Requires="a14">
        <xdr:graphicFrame macro="">
          <xdr:nvGraphicFramePr>
            <xdr:cNvPr id="10" name="Months (OrderDate2)">
              <a:extLst>
                <a:ext uri="{FF2B5EF4-FFF2-40B4-BE49-F238E27FC236}">
                  <a16:creationId xmlns:a16="http://schemas.microsoft.com/office/drawing/2014/main" id="{7DF85A82-735C-FCF4-BD8E-0436A582993F}"/>
                </a:ext>
              </a:extLst>
            </xdr:cNvPr>
            <xdr:cNvGraphicFramePr/>
          </xdr:nvGraphicFramePr>
          <xdr:xfrm>
            <a:off x="0" y="0"/>
            <a:ext cx="0" cy="0"/>
          </xdr:xfrm>
          <a:graphic>
            <a:graphicData uri="http://schemas.microsoft.com/office/drawing/2010/slicer">
              <sle:slicer xmlns:sle="http://schemas.microsoft.com/office/drawing/2010/slicer" name="Months (OrderDate2)"/>
            </a:graphicData>
          </a:graphic>
        </xdr:graphicFrame>
      </mc:Choice>
      <mc:Fallback>
        <xdr:sp macro="" textlink="">
          <xdr:nvSpPr>
            <xdr:cNvPr id="0" name=""/>
            <xdr:cNvSpPr>
              <a:spLocks noTextEdit="1"/>
            </xdr:cNvSpPr>
          </xdr:nvSpPr>
          <xdr:spPr>
            <a:xfrm>
              <a:off x="11026549" y="1021946"/>
              <a:ext cx="1850061" cy="2546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333375</xdr:colOff>
      <xdr:row>18</xdr:row>
      <xdr:rowOff>42863</xdr:rowOff>
    </xdr:to>
    <xdr:graphicFrame macro="">
      <xdr:nvGraphicFramePr>
        <xdr:cNvPr id="2" name="Chart 1">
          <a:extLst>
            <a:ext uri="{FF2B5EF4-FFF2-40B4-BE49-F238E27FC236}">
              <a16:creationId xmlns:a16="http://schemas.microsoft.com/office/drawing/2014/main" id="{DCE94B8F-0900-4610-882D-B2D21AA2B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17</xdr:col>
      <xdr:colOff>533400</xdr:colOff>
      <xdr:row>18</xdr:row>
      <xdr:rowOff>185738</xdr:rowOff>
    </xdr:to>
    <xdr:graphicFrame macro="">
      <xdr:nvGraphicFramePr>
        <xdr:cNvPr id="3" name="Chart 2">
          <a:extLst>
            <a:ext uri="{FF2B5EF4-FFF2-40B4-BE49-F238E27FC236}">
              <a16:creationId xmlns:a16="http://schemas.microsoft.com/office/drawing/2014/main" id="{BFAD932F-868A-4012-A9EB-E291D5073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xdr:row>
      <xdr:rowOff>0</xdr:rowOff>
    </xdr:from>
    <xdr:to>
      <xdr:col>26</xdr:col>
      <xdr:colOff>304800</xdr:colOff>
      <xdr:row>17</xdr:row>
      <xdr:rowOff>185738</xdr:rowOff>
    </xdr:to>
    <xdr:graphicFrame macro="">
      <xdr:nvGraphicFramePr>
        <xdr:cNvPr id="4" name="Chart 3">
          <a:extLst>
            <a:ext uri="{FF2B5EF4-FFF2-40B4-BE49-F238E27FC236}">
              <a16:creationId xmlns:a16="http://schemas.microsoft.com/office/drawing/2014/main" id="{6A6036BC-6C2C-4825-AF3E-998A44863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8</xdr:col>
      <xdr:colOff>76200</xdr:colOff>
      <xdr:row>37</xdr:row>
      <xdr:rowOff>61913</xdr:rowOff>
    </xdr:to>
    <xdr:graphicFrame macro="">
      <xdr:nvGraphicFramePr>
        <xdr:cNvPr id="5" name="Chart 4">
          <a:extLst>
            <a:ext uri="{FF2B5EF4-FFF2-40B4-BE49-F238E27FC236}">
              <a16:creationId xmlns:a16="http://schemas.microsoft.com/office/drawing/2014/main" id="{13144F91-AAE1-4D02-BAFB-458119E8F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21</xdr:row>
      <xdr:rowOff>0</xdr:rowOff>
    </xdr:from>
    <xdr:to>
      <xdr:col>18</xdr:col>
      <xdr:colOff>247650</xdr:colOff>
      <xdr:row>38</xdr:row>
      <xdr:rowOff>61913</xdr:rowOff>
    </xdr:to>
    <xdr:graphicFrame macro="">
      <xdr:nvGraphicFramePr>
        <xdr:cNvPr id="6" name="Chart 5">
          <a:extLst>
            <a:ext uri="{FF2B5EF4-FFF2-40B4-BE49-F238E27FC236}">
              <a16:creationId xmlns:a16="http://schemas.microsoft.com/office/drawing/2014/main" id="{B3CDE837-E854-4538-8B8D-03C35CA99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2.062240509258" createdVersion="8" refreshedVersion="8" minRefreshableVersion="3" recordCount="600" xr:uid="{A3ABCFB1-5538-4370-AB3C-BCB7C17601F1}">
  <cacheSource type="worksheet">
    <worksheetSource name="Table13"/>
  </cacheSource>
  <cacheFields count="23">
    <cacheField name="OrderID" numFmtId="0">
      <sharedItems/>
    </cacheField>
    <cacheField name="OrderDate2" numFmtId="173">
      <sharedItems containsSemiMixedTypes="0" containsNonDate="0" containsDate="1" containsString="0" minDate="2025-01-01T00:00:00" maxDate="2026-01-01T00:00:00" count="308">
        <d v="2025-03-13T00:00:00"/>
        <d v="2025-04-12T00:00:00"/>
        <d v="2025-08-05T00:00:00"/>
        <d v="2025-05-16T00:00:00"/>
        <d v="2025-04-09T00:00:00"/>
        <d v="2025-11-22T00:00:00"/>
        <d v="2025-06-16T00:00:00"/>
        <d v="2025-12-02T00:00:00"/>
        <d v="2025-10-27T00:00:00"/>
        <d v="2025-03-20T00:00:00"/>
        <d v="2025-01-06T00:00:00"/>
        <d v="2025-01-02T00:00:00"/>
        <d v="2025-07-11T00:00:00"/>
        <d v="2025-01-30T00:00:00"/>
        <d v="2025-03-26T00:00:00"/>
        <d v="2025-09-22T00:00:00"/>
        <d v="2025-02-06T00:00:00"/>
        <d v="2025-09-06T00:00:00"/>
        <d v="2025-12-04T00:00:00"/>
        <d v="2025-07-26T00:00:00"/>
        <d v="2025-08-25T00:00:00"/>
        <d v="2025-05-02T00:00:00"/>
        <d v="2025-08-21T00:00:00"/>
        <d v="2025-06-10T00:00:00"/>
        <d v="2025-02-04T00:00:00"/>
        <d v="2025-10-26T00:00:00"/>
        <d v="2025-12-10T00:00:00"/>
        <d v="2025-10-03T00:00:00"/>
        <d v="2025-12-27T00:00:00"/>
        <d v="2025-02-24T00:00:00"/>
        <d v="2025-09-08T00:00:00"/>
        <d v="2025-08-15T00:00:00"/>
        <d v="2025-01-19T00:00:00"/>
        <d v="2025-04-18T00:00:00"/>
        <d v="2025-07-31T00:00:00"/>
        <d v="2025-08-29T00:00:00"/>
        <d v="2025-05-23T00:00:00"/>
        <d v="2025-04-02T00:00:00"/>
        <d v="2025-10-23T00:00:00"/>
        <d v="2025-08-09T00:00:00"/>
        <d v="2025-07-29T00:00:00"/>
        <d v="2025-10-19T00:00:00"/>
        <d v="2025-08-01T00:00:00"/>
        <d v="2025-08-06T00:00:00"/>
        <d v="2025-11-10T00:00:00"/>
        <d v="2025-11-23T00:00:00"/>
        <d v="2025-06-13T00:00:00"/>
        <d v="2025-07-28T00:00:00"/>
        <d v="2025-07-14T00:00:00"/>
        <d v="2025-04-23T00:00:00"/>
        <d v="2025-03-07T00:00:00"/>
        <d v="2025-01-26T00:00:00"/>
        <d v="2025-05-10T00:00:00"/>
        <d v="2025-05-07T00:00:00"/>
        <d v="2025-05-12T00:00:00"/>
        <d v="2025-09-30T00:00:00"/>
        <d v="2025-08-12T00:00:00"/>
        <d v="2025-11-09T00:00:00"/>
        <d v="2025-05-24T00:00:00"/>
        <d v="2025-10-12T00:00:00"/>
        <d v="2025-12-06T00:00:00"/>
        <d v="2025-06-06T00:00:00"/>
        <d v="2025-04-21T00:00:00"/>
        <d v="2025-01-08T00:00:00"/>
        <d v="2025-01-07T00:00:00"/>
        <d v="2025-02-03T00:00:00"/>
        <d v="2025-03-02T00:00:00"/>
        <d v="2025-02-08T00:00:00"/>
        <d v="2025-03-14T00:00:00"/>
        <d v="2025-09-14T00:00:00"/>
        <d v="2025-04-28T00:00:00"/>
        <d v="2025-06-18T00:00:00"/>
        <d v="2025-03-01T00:00:00"/>
        <d v="2025-11-19T00:00:00"/>
        <d v="2025-03-16T00:00:00"/>
        <d v="2025-05-25T00:00:00"/>
        <d v="2025-06-14T00:00:00"/>
        <d v="2025-07-15T00:00:00"/>
        <d v="2025-02-21T00:00:00"/>
        <d v="2025-11-16T00:00:00"/>
        <d v="2025-03-27T00:00:00"/>
        <d v="2025-09-29T00:00:00"/>
        <d v="2025-12-13T00:00:00"/>
        <d v="2025-06-04T00:00:00"/>
        <d v="2025-06-30T00:00:00"/>
        <d v="2025-02-19T00:00:00"/>
        <d v="2025-06-17T00:00:00"/>
        <d v="2025-09-04T00:00:00"/>
        <d v="2025-07-07T00:00:00"/>
        <d v="2025-04-24T00:00:00"/>
        <d v="2025-03-21T00:00:00"/>
        <d v="2025-05-01T00:00:00"/>
        <d v="2025-04-17T00:00:00"/>
        <d v="2025-05-09T00:00:00"/>
        <d v="2025-01-27T00:00:00"/>
        <d v="2025-10-31T00:00:00"/>
        <d v="2025-09-03T00:00:00"/>
        <d v="2025-05-21T00:00:00"/>
        <d v="2025-11-30T00:00:00"/>
        <d v="2025-02-18T00:00:00"/>
        <d v="2025-02-17T00:00:00"/>
        <d v="2025-07-01T00:00:00"/>
        <d v="2025-11-15T00:00:00"/>
        <d v="2025-06-29T00:00:00"/>
        <d v="2025-05-20T00:00:00"/>
        <d v="2025-12-08T00:00:00"/>
        <d v="2025-05-29T00:00:00"/>
        <d v="2025-10-14T00:00:00"/>
        <d v="2025-08-08T00:00:00"/>
        <d v="2025-07-05T00:00:00"/>
        <d v="2025-06-23T00:00:00"/>
        <d v="2025-11-27T00:00:00"/>
        <d v="2025-11-18T00:00:00"/>
        <d v="2025-11-20T00:00:00"/>
        <d v="2025-02-09T00:00:00"/>
        <d v="2025-03-19T00:00:00"/>
        <d v="2025-09-26T00:00:00"/>
        <d v="2025-11-28T00:00:00"/>
        <d v="2025-02-11T00:00:00"/>
        <d v="2025-06-08T00:00:00"/>
        <d v="2025-10-04T00:00:00"/>
        <d v="2025-08-13T00:00:00"/>
        <d v="2025-10-01T00:00:00"/>
        <d v="2025-09-15T00:00:00"/>
        <d v="2025-02-22T00:00:00"/>
        <d v="2025-02-16T00:00:00"/>
        <d v="2025-11-08T00:00:00"/>
        <d v="2025-02-26T00:00:00"/>
        <d v="2025-10-20T00:00:00"/>
        <d v="2025-12-03T00:00:00"/>
        <d v="2025-08-26T00:00:00"/>
        <d v="2025-01-22T00:00:00"/>
        <d v="2025-01-25T00:00:00"/>
        <d v="2025-09-12T00:00:00"/>
        <d v="2025-05-31T00:00:00"/>
        <d v="2025-08-16T00:00:00"/>
        <d v="2025-04-06T00:00:00"/>
        <d v="2025-09-09T00:00:00"/>
        <d v="2025-06-27T00:00:00"/>
        <d v="2025-09-18T00:00:00"/>
        <d v="2025-10-10T00:00:00"/>
        <d v="2025-10-22T00:00:00"/>
        <d v="2025-08-10T00:00:00"/>
        <d v="2025-09-23T00:00:00"/>
        <d v="2025-11-25T00:00:00"/>
        <d v="2025-10-15T00:00:00"/>
        <d v="2025-07-16T00:00:00"/>
        <d v="2025-09-21T00:00:00"/>
        <d v="2025-05-28T00:00:00"/>
        <d v="2025-03-12T00:00:00"/>
        <d v="2025-01-09T00:00:00"/>
        <d v="2025-12-15T00:00:00"/>
        <d v="2025-03-30T00:00:00"/>
        <d v="2025-09-05T00:00:00"/>
        <d v="2025-06-26T00:00:00"/>
        <d v="2025-04-14T00:00:00"/>
        <d v="2025-10-09T00:00:00"/>
        <d v="2025-10-21T00:00:00"/>
        <d v="2025-09-16T00:00:00"/>
        <d v="2025-06-22T00:00:00"/>
        <d v="2025-03-23T00:00:00"/>
        <d v="2025-11-02T00:00:00"/>
        <d v="2025-10-02T00:00:00"/>
        <d v="2025-09-19T00:00:00"/>
        <d v="2025-01-12T00:00:00"/>
        <d v="2025-08-30T00:00:00"/>
        <d v="2025-08-18T00:00:00"/>
        <d v="2025-01-23T00:00:00"/>
        <d v="2025-02-01T00:00:00"/>
        <d v="2025-06-03T00:00:00"/>
        <d v="2025-04-15T00:00:00"/>
        <d v="2025-07-13T00:00:00"/>
        <d v="2025-06-20T00:00:00"/>
        <d v="2025-05-03T00:00:00"/>
        <d v="2025-05-05T00:00:00"/>
        <d v="2025-06-11T00:00:00"/>
        <d v="2025-11-06T00:00:00"/>
        <d v="2025-07-02T00:00:00"/>
        <d v="2025-05-18T00:00:00"/>
        <d v="2025-05-19T00:00:00"/>
        <d v="2025-02-15T00:00:00"/>
        <d v="2025-11-12T00:00:00"/>
        <d v="2025-08-14T00:00:00"/>
        <d v="2025-02-28T00:00:00"/>
        <d v="2025-12-21T00:00:00"/>
        <d v="2025-02-07T00:00:00"/>
        <d v="2025-12-23T00:00:00"/>
        <d v="2025-01-03T00:00:00"/>
        <d v="2025-03-10T00:00:00"/>
        <d v="2025-03-11T00:00:00"/>
        <d v="2025-10-17T00:00:00"/>
        <d v="2025-09-11T00:00:00"/>
        <d v="2025-12-14T00:00:00"/>
        <d v="2025-12-31T00:00:00"/>
        <d v="2025-02-20T00:00:00"/>
        <d v="2025-03-09T00:00:00"/>
        <d v="2025-07-22T00:00:00"/>
        <d v="2025-01-14T00:00:00"/>
        <d v="2025-07-17T00:00:00"/>
        <d v="2025-01-31T00:00:00"/>
        <d v="2025-02-12T00:00:00"/>
        <d v="2025-12-24T00:00:00"/>
        <d v="2025-09-25T00:00:00"/>
        <d v="2025-06-21T00:00:00"/>
        <d v="2025-01-24T00:00:00"/>
        <d v="2025-04-25T00:00:00"/>
        <d v="2025-07-08T00:00:00"/>
        <d v="2025-10-07T00:00:00"/>
        <d v="2025-01-01T00:00:00"/>
        <d v="2025-02-25T00:00:00"/>
        <d v="2025-06-07T00:00:00"/>
        <d v="2025-07-27T00:00:00"/>
        <d v="2025-01-16T00:00:00"/>
        <d v="2025-11-11T00:00:00"/>
        <d v="2025-01-15T00:00:00"/>
        <d v="2025-06-19T00:00:00"/>
        <d v="2025-09-27T00:00:00"/>
        <d v="2025-09-07T00:00:00"/>
        <d v="2025-12-19T00:00:00"/>
        <d v="2025-01-11T00:00:00"/>
        <d v="2025-11-01T00:00:00"/>
        <d v="2025-04-08T00:00:00"/>
        <d v="2025-01-28T00:00:00"/>
        <d v="2025-04-16T00:00:00"/>
        <d v="2025-08-27T00:00:00"/>
        <d v="2025-03-06T00:00:00"/>
        <d v="2025-10-16T00:00:00"/>
        <d v="2025-09-01T00:00:00"/>
        <d v="2025-04-19T00:00:00"/>
        <d v="2025-09-17T00:00:00"/>
        <d v="2025-09-24T00:00:00"/>
        <d v="2025-03-18T00:00:00"/>
        <d v="2025-04-10T00:00:00"/>
        <d v="2025-06-25T00:00:00"/>
        <d v="2025-04-01T00:00:00"/>
        <d v="2025-03-08T00:00:00"/>
        <d v="2025-12-18T00:00:00"/>
        <d v="2025-10-08T00:00:00"/>
        <d v="2025-11-07T00:00:00"/>
        <d v="2025-04-13T00:00:00"/>
        <d v="2025-01-21T00:00:00"/>
        <d v="2025-07-03T00:00:00"/>
        <d v="2025-08-02T00:00:00"/>
        <d v="2025-10-13T00:00:00"/>
        <d v="2025-09-13T00:00:00"/>
        <d v="2025-05-11T00:00:00"/>
        <d v="2025-07-18T00:00:00"/>
        <d v="2025-07-23T00:00:00"/>
        <d v="2025-11-29T00:00:00"/>
        <d v="2025-05-17T00:00:00"/>
        <d v="2025-08-20T00:00:00"/>
        <d v="2025-12-07T00:00:00"/>
        <d v="2025-10-06T00:00:00"/>
        <d v="2025-11-13T00:00:00"/>
        <d v="2025-12-16T00:00:00"/>
        <d v="2025-07-19T00:00:00"/>
        <d v="2025-03-22T00:00:00"/>
        <d v="2025-10-11T00:00:00"/>
        <d v="2025-05-26T00:00:00"/>
        <d v="2025-10-18T00:00:00"/>
        <d v="2025-07-04T00:00:00"/>
        <d v="2025-05-15T00:00:00"/>
        <d v="2025-11-03T00:00:00"/>
        <d v="2025-01-04T00:00:00"/>
        <d v="2025-07-09T00:00:00"/>
        <d v="2025-02-10T00:00:00"/>
        <d v="2025-03-28T00:00:00"/>
        <d v="2025-12-09T00:00:00"/>
        <d v="2025-03-31T00:00:00"/>
        <d v="2025-07-10T00:00:00"/>
        <d v="2025-08-04T00:00:00"/>
        <d v="2025-12-20T00:00:00"/>
        <d v="2025-12-25T00:00:00"/>
        <d v="2025-07-30T00:00:00"/>
        <d v="2025-04-07T00:00:00"/>
        <d v="2025-01-05T00:00:00"/>
        <d v="2025-06-28T00:00:00"/>
        <d v="2025-02-02T00:00:00"/>
        <d v="2025-01-17T00:00:00"/>
        <d v="2025-04-29T00:00:00"/>
        <d v="2025-06-15T00:00:00"/>
        <d v="2025-01-18T00:00:00"/>
        <d v="2025-05-08T00:00:00"/>
        <d v="2025-07-21T00:00:00"/>
        <d v="2025-11-14T00:00:00"/>
        <d v="2025-10-05T00:00:00"/>
        <d v="2025-05-30T00:00:00"/>
        <d v="2025-10-30T00:00:00"/>
        <d v="2025-03-05T00:00:00"/>
        <d v="2025-08-23T00:00:00"/>
        <d v="2025-04-05T00:00:00"/>
        <d v="2025-02-14T00:00:00"/>
        <d v="2025-10-24T00:00:00"/>
        <d v="2025-01-13T00:00:00"/>
        <d v="2025-11-24T00:00:00"/>
        <d v="2025-01-29T00:00:00"/>
        <d v="2025-12-28T00:00:00"/>
        <d v="2025-08-28T00:00:00"/>
        <d v="2025-11-26T00:00:00"/>
        <d v="2025-03-29T00:00:00"/>
        <d v="2025-10-25T00:00:00"/>
        <d v="2025-02-27T00:00:00"/>
        <d v="2025-09-28T00:00:00"/>
        <d v="2025-12-11T00:00:00"/>
        <d v="2025-08-07T00:00:00"/>
        <d v="2025-03-15T00:00:00"/>
        <d v="2025-02-13T00:00:00"/>
        <d v="2025-12-22T00:00:00"/>
      </sharedItems>
      <fieldGroup par="22"/>
    </cacheField>
    <cacheField name="CustomerType" numFmtId="0">
      <sharedItems/>
    </cacheField>
    <cacheField name="State" numFmtId="0">
      <sharedItems/>
    </cacheField>
    <cacheField name="City" numFmtId="0">
      <sharedItems/>
    </cacheField>
    <cacheField name="Region" numFmtId="0">
      <sharedItems count="5">
        <s v="South West"/>
        <s v="North Central"/>
        <s v="South East"/>
        <s v="North West"/>
        <s v="South South"/>
      </sharedItems>
    </cacheField>
    <cacheField name="SalesChannel" numFmtId="0">
      <sharedItems count="4">
        <s v="Online"/>
        <s v="Phone Order"/>
        <s v="In-Store"/>
        <s v="WhatsApp"/>
      </sharedItems>
    </cacheField>
    <cacheField name="PaymentMethod" numFmtId="0">
      <sharedItems containsBlank="1"/>
    </cacheField>
    <cacheField name="Product" numFmtId="0">
      <sharedItems count="12">
        <s v="School Bag"/>
        <s v="Laptop"/>
        <s v="Cooking Oil 5L"/>
        <s v="Smartphone"/>
        <s v="Blender"/>
        <s v="Office Chair"/>
        <s v="Tablet"/>
        <s v="Rice 50kg"/>
        <s v="Microwave"/>
        <s v="Sneakers"/>
        <s v="Office Desk"/>
        <s v="Printer"/>
      </sharedItems>
    </cacheField>
    <cacheField name="Category" numFmtId="0">
      <sharedItems/>
    </cacheField>
    <cacheField name="Quantity" numFmtId="0">
      <sharedItems containsSemiMixedTypes="0" containsString="0" containsNumber="1" containsInteger="1" minValue="1" maxValue="15"/>
    </cacheField>
    <cacheField name="UnitPrice_NGN" numFmtId="164">
      <sharedItems containsSemiMixedTypes="0" containsString="0" containsNumber="1" containsInteger="1" minValue="16650" maxValue="495000"/>
    </cacheField>
    <cacheField name="UnitCost_NGN" numFmtId="164">
      <sharedItems containsSemiMixedTypes="0" containsString="0" containsNumber="1" containsInteger="1" minValue="12350" maxValue="367500"/>
    </cacheField>
    <cacheField name="DiscountRate" numFmtId="0">
      <sharedItems containsString="0" containsBlank="1" containsNumber="1" minValue="0" maxValue="0.15"/>
    </cacheField>
    <cacheField name="SalesRep" numFmtId="0">
      <sharedItems count="8">
        <s v="Ibrahim"/>
        <s v="Blessing"/>
        <s v="Peter"/>
        <s v="Musa"/>
        <s v="Grace"/>
        <s v="David"/>
        <s v="Chidinma"/>
        <s v="Ada"/>
      </sharedItems>
    </cacheField>
    <cacheField name="OrderStatus" numFmtId="0">
      <sharedItems/>
    </cacheField>
    <cacheField name="GrossRevenue" numFmtId="164">
      <sharedItems containsSemiMixedTypes="0" containsString="0" containsNumber="1" containsInteger="1" minValue="16650" maxValue="7425000"/>
    </cacheField>
    <cacheField name="NetRevenue" numFmtId="165">
      <sharedItems containsSemiMixedTypes="0" containsString="0" containsNumber="1" minValue="14152.5" maxValue="7425000" count="406">
        <n v="22000"/>
        <n v="384750"/>
        <n v="84915"/>
        <n v="756000"/>
        <n v="190080"/>
        <n v="2128000"/>
        <n v="103950"/>
        <n v="642600"/>
        <n v="190000"/>
        <n v="918000"/>
        <n v="594000"/>
        <n v="172800"/>
        <n v="20900"/>
        <n v="760000"/>
        <n v="125000"/>
        <n v="1436400"/>
        <n v="125685"/>
        <n v="665000"/>
        <n v="363375"/>
        <n v="912000"/>
        <n v="220500"/>
        <n v="480000"/>
        <n v="7425000"/>
        <n v="43200"/>
        <n v="969000"/>
        <n v="14152.5"/>
        <n v="44000"/>
        <n v="1800000"/>
        <n v="718200"/>
        <n v="250800"/>
        <n v="79087.5"/>
        <n v="855000"/>
        <n v="3175200"/>
        <n v="1485000"/>
        <n v="17575"/>
        <n v="513000"/>
        <n v="152000"/>
        <n v="39600"/>
        <n v="997500"/>
        <n v="498750"/>
        <n v="93500"/>
        <n v="720000"/>
        <n v="960000"/>
        <n v="50400"/>
        <n v="266000"/>
        <n v="1440000"/>
        <n v="593750"/>
        <n v="43320"/>
        <n v="475200"/>
        <n v="273600"/>
        <n v="831250"/>
        <n v="924000"/>
        <n v="962500"/>
        <n v="100937.5"/>
        <n v="145200"/>
        <n v="3240000"/>
        <n v="478800"/>
        <n v="2394000"/>
        <n v="525000"/>
        <n v="94762.5"/>
        <n v="900000"/>
        <n v="192000"/>
        <n v="1232000"/>
        <n v="560000"/>
        <n v="2100000"/>
        <n v="1080000"/>
        <n v="250000"/>
        <n v="81225"/>
        <n v="169575"/>
        <n v="201600"/>
        <n v="375000"/>
        <n v="96000"/>
        <n v="540000"/>
        <n v="367500"/>
        <n v="285000"/>
        <n v="81600"/>
        <n v="950000"/>
        <n v="99275"/>
        <n v="615600"/>
        <n v="576000"/>
        <n v="180500"/>
        <n v="142800"/>
        <n v="2052000"/>
        <n v="24200"/>
        <n v="866250"/>
        <n v="107730"/>
        <n v="104500"/>
        <n v="70300"/>
        <n v="49950"/>
        <n v="117810"/>
        <n v="1282500"/>
        <n v="380000"/>
        <n v="590625"/>
        <n v="4050000"/>
        <n v="239400"/>
        <n v="1984500"/>
        <n v="428687.5"/>
        <n v="810000"/>
        <n v="820800"/>
        <n v="31635"/>
        <n v="630000"/>
        <n v="124740"/>
        <n v="168000"/>
        <n v="532000"/>
        <n v="382500"/>
        <n v="304000"/>
        <n v="1620000"/>
        <n v="73815"/>
        <n v="565250"/>
        <n v="1108800"/>
        <n v="990000"/>
        <n v="1285200"/>
        <n v="360000"/>
        <n v="356250"/>
        <n v="1260000"/>
        <n v="510300"/>
        <n v="116640"/>
        <n v="465120"/>
        <n v="62900"/>
        <n v="209000"/>
        <n v="704000"/>
        <n v="18810"/>
        <n v="256500"/>
        <n v="562500"/>
        <n v="85737.5"/>
        <n v="242250"/>
        <n v="66000"/>
        <n v="144000"/>
        <n v="14938.75"/>
        <n v="122100"/>
        <n v="313500"/>
        <n v="470250"/>
        <n v="168300"/>
        <n v="554400"/>
        <n v="95000"/>
        <n v="75600"/>
        <n v="1170400"/>
        <n v="312375"/>
        <n v="39900"/>
        <n v="541500"/>
        <n v="288000"/>
        <n v="323000"/>
        <n v="1090125"/>
        <n v="99900"/>
        <n v="87875"/>
        <n v="33660"/>
        <n v="383562.5"/>
        <n v="413100"/>
        <n v="441000"/>
        <n v="228000"/>
        <n v="99750"/>
        <n v="324000"/>
        <n v="133200"/>
        <n v="16511.25"/>
        <n v="538650"/>
        <n v="171000"/>
        <n v="38665"/>
        <n v="85500"/>
        <n v="164160"/>
        <n v="66785"/>
        <n v="1539000"/>
        <n v="379050"/>
        <n v="1425000"/>
        <n v="108900"/>
        <n v="856800"/>
        <n v="361000"/>
        <n v="918750"/>
        <n v="59755"/>
        <n v="216000"/>
        <n v="145350"/>
        <n v="2700000"/>
        <n v="551250"/>
        <n v="37800"/>
        <n v="332500"/>
        <n v="710600"/>
        <n v="277200"/>
        <n v="106250"/>
        <n v="19800"/>
        <n v="625000"/>
        <n v="39690"/>
        <n v="687500"/>
        <n v="1147500"/>
        <n v="5103000"/>
        <n v="1330000"/>
        <n v="446250"/>
        <n v="178500"/>
        <n v="684000"/>
        <n v="1215000"/>
        <n v="1458000"/>
        <n v="129600"/>
        <n v="840000"/>
        <n v="259200"/>
        <n v="2800000"/>
        <n v="132000"/>
        <n v="175000"/>
        <n v="500000"/>
        <n v="35150"/>
        <n v="385000"/>
        <n v="798000"/>
        <n v="940500"/>
        <n v="41580"/>
        <n v="252700"/>
        <n v="191250"/>
        <n v="35700"/>
        <n v="399000"/>
        <n v="111000"/>
        <n v="112200"/>
        <n v="472500"/>
        <n v="118750"/>
        <n v="384000"/>
        <n v="316800"/>
        <n v="646000"/>
        <n v="270750"/>
        <n v="315000"/>
        <n v="113400"/>
        <n v="116550"/>
        <n v="42000"/>
        <n v="235620"/>
        <n v="15725"/>
        <n v="1680000"/>
        <n v="571200"/>
        <n v="71820"/>
        <n v="1353750"/>
        <n v="450000"/>
        <n v="151200"/>
        <n v="211200"/>
        <n v="280000"/>
        <n v="199500"/>
        <n v="303750"/>
        <n v="432000"/>
        <n v="2835000"/>
        <n v="19425"/>
        <n v="425000"/>
        <n v="352000"/>
        <n v="218025"/>
        <n v="119070"/>
        <n v="547200"/>
        <n v="166250"/>
        <n v="184800"/>
        <n v="475000"/>
        <n v="252000"/>
        <n v="3990000"/>
        <n v="320000"/>
        <n v="123120"/>
        <n v="104895"/>
        <n v="146520"/>
        <n v="282625"/>
        <n v="608000"/>
        <n v="31450"/>
        <n v="1938000"/>
        <n v="198000"/>
        <n v="162000"/>
        <n v="16650"/>
        <n v="160000"/>
        <n v="83600"/>
        <n v="1428000"/>
        <n v="82080"/>
        <n v="729000"/>
        <n v="722000"/>
        <n v="149600"/>
        <n v="266475"/>
        <n v="4500000"/>
        <n v="836000"/>
        <n v="143640"/>
        <n v="2065500"/>
        <n v="1400000"/>
        <n v="258400"/>
        <n v="79200"/>
        <n v="297500"/>
        <n v="98175"/>
        <n v="1368000"/>
        <n v="391875"/>
        <n v="364800"/>
        <n v="214200"/>
        <n v="514425"/>
        <n v="110160"/>
        <n v="46200"/>
        <n v="5130000"/>
        <n v="226800"/>
        <n v="448875"/>
        <n v="80750"/>
        <n v="1197000"/>
        <n v="225000"/>
        <n v="174562.5"/>
        <n v="656250"/>
        <n v="48000"/>
        <n v="1596000"/>
        <n v="189000"/>
        <n v="1216000"/>
        <n v="451250"/>
        <n v="528000"/>
        <n v="339150"/>
        <n v="84000"/>
        <n v="897600"/>
        <n v="79800"/>
        <n v="752400"/>
        <n v="1250000"/>
        <n v="141750"/>
        <n v="142120"/>
        <n v="297825"/>
        <n v="48400"/>
        <n v="55500"/>
        <n v="183750"/>
        <n v="1102500"/>
        <n v="750000"/>
        <n v="765000"/>
        <n v="486000"/>
        <n v="230137.5"/>
        <n v="680400"/>
        <n v="18700"/>
        <n v="1068750"/>
        <n v="481950"/>
        <n v="640000"/>
        <n v="50088.75"/>
        <n v="180000"/>
        <n v="436050"/>
        <n v="627000"/>
        <n v="94350"/>
        <n v="18500"/>
        <n v="39270"/>
        <n v="864000"/>
        <n v="2970000"/>
        <n v="32130"/>
        <n v="153900"/>
        <n v="1728000"/>
        <n v="299250"/>
        <n v="36907.5"/>
        <n v="1408000"/>
        <n v="246240"/>
        <n v="244800"/>
        <n v="423937.5"/>
        <n v="291375"/>
        <n v="90720"/>
        <n v="577500"/>
        <n v="110000"/>
        <n v="3360000"/>
        <n v="612000"/>
        <n v="570000"/>
        <n v="161500"/>
        <n v="231000"/>
        <n v="595650"/>
        <n v="88000"/>
        <n v="290700"/>
        <n v="2430000"/>
        <n v="213180"/>
        <n v="1760000"/>
        <n v="121000"/>
        <n v="1417500"/>
        <n v="89632.5"/>
        <n v="945000"/>
        <n v="892500"/>
        <n v="2570400"/>
        <n v="188700"/>
        <n v="1512000"/>
        <n v="112500"/>
        <n v="92268.75"/>
        <n v="302400"/>
        <n v="706562.5"/>
        <n v="90250"/>
        <n v="1386000"/>
        <n v="1296000"/>
        <n v="276806.25"/>
        <n v="59400"/>
        <n v="568575"/>
        <n v="45360"/>
        <n v="52725"/>
        <n v="1026000"/>
        <n v="74000"/>
        <n v="410400"/>
        <n v="307800"/>
        <n v="780937.5"/>
        <n v="179550"/>
        <n v="3024000"/>
        <n v="81400"/>
        <n v="87780"/>
        <n v="342000"/>
        <n v="880000"/>
        <n v="2240000"/>
        <n v="4275000"/>
        <n v="3960000"/>
        <n v="41800"/>
        <n v="159600"/>
        <n v="3847500"/>
        <n v="34595"/>
        <n v="714000"/>
        <n v="787500"/>
        <n v="648000"/>
        <n v="3442500"/>
        <n v="62700"/>
        <n v="249900"/>
        <n v="367200"/>
        <n v="1890000"/>
        <n v="175750"/>
        <n v="84787.5"/>
        <n v="92500"/>
        <n v="396000"/>
        <n v="605625"/>
        <n v="137500"/>
        <n v="522500"/>
        <n v="1083000"/>
        <n v="243675"/>
        <n v="64260"/>
        <n v="94905"/>
        <n v="743750"/>
        <n v="33300"/>
        <n v="1125000"/>
      </sharedItems>
    </cacheField>
    <cacheField name="TotalCost" numFmtId="164">
      <sharedItems containsSemiMixedTypes="0" containsString="0" containsNumber="1" containsInteger="1" minValue="13000" maxValue="4987500"/>
    </cacheField>
    <cacheField name="Profit" numFmtId="164">
      <sharedItems containsSemiMixedTypes="0" containsString="0" containsNumber="1" minValue="-80550" maxValue="2437500"/>
    </cacheField>
    <cacheField name="Column1" numFmtId="164">
      <sharedItems containsBlank="1"/>
    </cacheField>
    <cacheField name="Days (OrderDate2)"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Date2)"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459950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NG20250001"/>
    <x v="0"/>
    <s v="Retail"/>
    <s v="Oyo State"/>
    <s v="Ibadan"/>
    <x v="0"/>
    <x v="0"/>
    <s v="Mobile Money"/>
    <x v="0"/>
    <s v="Fashion"/>
    <n v="1"/>
    <n v="22000"/>
    <n v="13000"/>
    <n v="0"/>
    <x v="0"/>
    <s v="Returned"/>
    <n v="22000"/>
    <x v="0"/>
    <n v="13000"/>
    <n v="9000"/>
    <m/>
  </r>
  <r>
    <s v="NG20250002"/>
    <x v="1"/>
    <s v="Wholesale"/>
    <s v="Lagos State"/>
    <s v="Lagos"/>
    <x v="0"/>
    <x v="1"/>
    <s v="Cash"/>
    <x v="1"/>
    <s v="Electronics"/>
    <n v="1"/>
    <n v="427500"/>
    <n v="332500"/>
    <n v="0.1"/>
    <x v="1"/>
    <s v="Returned"/>
    <n v="427500"/>
    <x v="1"/>
    <n v="332500"/>
    <n v="52250"/>
    <m/>
  </r>
  <r>
    <s v="NG20250003"/>
    <x v="2"/>
    <s v="Corporate"/>
    <s v="Nasarawa State"/>
    <s v="Mararaba"/>
    <x v="1"/>
    <x v="2"/>
    <s v="Cash"/>
    <x v="2"/>
    <s v="Groceries"/>
    <n v="6"/>
    <n v="16650"/>
    <n v="14500"/>
    <n v="0.15"/>
    <x v="2"/>
    <s v="Delivered"/>
    <n v="99900"/>
    <x v="2"/>
    <n v="87000"/>
    <n v="-2085"/>
    <m/>
  </r>
  <r>
    <s v="NG20250004"/>
    <x v="3"/>
    <s v="Wholesale"/>
    <s v="Oyo State"/>
    <s v="Ibadan"/>
    <x v="0"/>
    <x v="1"/>
    <s v="Mobile Money"/>
    <x v="3"/>
    <s v="Electronics"/>
    <n v="3"/>
    <n v="280000"/>
    <n v="210000"/>
    <n v="0.1"/>
    <x v="3"/>
    <s v="Delivered"/>
    <n v="840000"/>
    <x v="3"/>
    <n v="630000"/>
    <n v="126000"/>
    <b v="1"/>
  </r>
  <r>
    <s v="NG20250005"/>
    <x v="4"/>
    <s v="Retail"/>
    <s v="Oyo State"/>
    <s v="Ibadan"/>
    <x v="0"/>
    <x v="0"/>
    <s v="Cash"/>
    <x v="4"/>
    <s v="Home Appliances"/>
    <n v="4"/>
    <n v="52800"/>
    <n v="30000"/>
    <n v="0.1"/>
    <x v="4"/>
    <s v="Returned"/>
    <n v="211200"/>
    <x v="4"/>
    <n v="120000"/>
    <n v="70080"/>
    <m/>
  </r>
  <r>
    <s v="NG20250006"/>
    <x v="5"/>
    <s v="Retail"/>
    <s v="FCT"/>
    <s v="Abuja"/>
    <x v="1"/>
    <x v="3"/>
    <s v="Debit Card"/>
    <x v="3"/>
    <s v="Electronics"/>
    <n v="8"/>
    <n v="280000"/>
    <n v="210000"/>
    <n v="0.05"/>
    <x v="5"/>
    <s v="Delivered"/>
    <n v="2240000"/>
    <x v="5"/>
    <n v="1680000"/>
    <n v="448000"/>
    <m/>
  </r>
  <r>
    <s v="NG20250007"/>
    <x v="5"/>
    <s v="Wholesale"/>
    <s v="Nasarawa State"/>
    <s v="Mararaba"/>
    <x v="1"/>
    <x v="2"/>
    <s v="Cash"/>
    <x v="0"/>
    <s v="Fashion"/>
    <n v="5"/>
    <n v="23100"/>
    <n v="12350"/>
    <n v="0.1"/>
    <x v="1"/>
    <s v="Delivered"/>
    <n v="115500"/>
    <x v="6"/>
    <n v="61750"/>
    <n v="42200"/>
    <m/>
  </r>
  <r>
    <s v="NG20250008"/>
    <x v="6"/>
    <s v="Retail"/>
    <s v="Nasarawa State"/>
    <s v="Mararaba"/>
    <x v="1"/>
    <x v="0"/>
    <s v="Debit Card"/>
    <x v="4"/>
    <s v="Home Appliances"/>
    <n v="15"/>
    <n v="50400"/>
    <n v="30000"/>
    <n v="0.15"/>
    <x v="0"/>
    <s v="Delivered"/>
    <n v="756000"/>
    <x v="7"/>
    <n v="450000"/>
    <n v="192600"/>
    <m/>
  </r>
  <r>
    <s v="NG20250009"/>
    <x v="7"/>
    <s v="Corporate"/>
    <s v="Oyo State"/>
    <s v="Ibadan"/>
    <x v="0"/>
    <x v="1"/>
    <s v="Cash"/>
    <x v="5"/>
    <s v="Furniture"/>
    <n v="2"/>
    <n v="95000"/>
    <n v="62000"/>
    <n v="0"/>
    <x v="4"/>
    <s v="Pending"/>
    <n v="190000"/>
    <x v="8"/>
    <n v="124000"/>
    <n v="66000"/>
    <m/>
  </r>
  <r>
    <s v="NG20250010"/>
    <x v="8"/>
    <s v="Wholesale"/>
    <s v="FCT"/>
    <s v="Abuja"/>
    <x v="1"/>
    <x v="1"/>
    <s v="Debit Card"/>
    <x v="6"/>
    <s v="Electronics"/>
    <n v="6"/>
    <n v="180000"/>
    <n v="130000"/>
    <n v="0.15"/>
    <x v="5"/>
    <s v="Pending"/>
    <n v="1080000"/>
    <x v="9"/>
    <n v="780000"/>
    <n v="138000"/>
    <m/>
  </r>
  <r>
    <s v="NG20250011"/>
    <x v="9"/>
    <s v="Retail"/>
    <s v="Enugu State"/>
    <s v="Enugu"/>
    <x v="2"/>
    <x v="1"/>
    <s v="Mobile Money"/>
    <x v="6"/>
    <s v="Electronics"/>
    <n v="3"/>
    <n v="198000"/>
    <n v="123500"/>
    <n v="0"/>
    <x v="3"/>
    <s v="Returned"/>
    <n v="594000"/>
    <x v="10"/>
    <n v="370500"/>
    <n v="223500"/>
    <m/>
  </r>
  <r>
    <s v="NG20250012"/>
    <x v="10"/>
    <s v="Wholesale"/>
    <s v="Kano State"/>
    <s v="Kano"/>
    <x v="3"/>
    <x v="0"/>
    <s v="Mobile Money"/>
    <x v="4"/>
    <s v="Home Appliances"/>
    <n v="4"/>
    <n v="48000"/>
    <n v="30000"/>
    <n v="0.1"/>
    <x v="4"/>
    <s v="Returned"/>
    <n v="192000"/>
    <x v="11"/>
    <n v="120000"/>
    <n v="52800"/>
    <m/>
  </r>
  <r>
    <s v="NG20250013"/>
    <x v="11"/>
    <s v="Wholesale"/>
    <s v="Plateau State"/>
    <s v="Jos"/>
    <x v="1"/>
    <x v="3"/>
    <s v="Mobile Money"/>
    <x v="0"/>
    <s v="Fashion"/>
    <n v="1"/>
    <n v="22000"/>
    <n v="13000"/>
    <n v="0.05"/>
    <x v="6"/>
    <s v="Returned"/>
    <n v="22000"/>
    <x v="12"/>
    <n v="13000"/>
    <n v="7900"/>
    <m/>
  </r>
  <r>
    <s v="NG20250014"/>
    <x v="12"/>
    <s v="Wholesale"/>
    <s v="Oyo State"/>
    <s v="Ibadan"/>
    <x v="0"/>
    <x v="0"/>
    <s v="Mobile Money"/>
    <x v="7"/>
    <s v="Groceries"/>
    <n v="8"/>
    <n v="95000"/>
    <n v="82000"/>
    <n v="0"/>
    <x v="2"/>
    <s v="Delivered"/>
    <n v="760000"/>
    <x v="13"/>
    <n v="656000"/>
    <n v="104000"/>
    <m/>
  </r>
  <r>
    <s v="NG20250015"/>
    <x v="13"/>
    <s v="Wholesale"/>
    <s v="Lagos State"/>
    <s v="Lagos"/>
    <x v="0"/>
    <x v="0"/>
    <s v="Bank Transfer"/>
    <x v="8"/>
    <s v="Home Appliances"/>
    <n v="1"/>
    <n v="125000"/>
    <n v="85000"/>
    <n v="0"/>
    <x v="1"/>
    <s v="Delivered"/>
    <n v="125000"/>
    <x v="14"/>
    <n v="85000"/>
    <n v="40000"/>
    <m/>
  </r>
  <r>
    <s v="NG20250016"/>
    <x v="14"/>
    <s v="Wholesale"/>
    <s v="Enugu State"/>
    <s v="Enugu"/>
    <x v="2"/>
    <x v="1"/>
    <s v="Cash"/>
    <x v="3"/>
    <s v="Electronics"/>
    <n v="6"/>
    <n v="266000"/>
    <n v="220500"/>
    <n v="0.1"/>
    <x v="5"/>
    <s v="Delivered"/>
    <n v="1596000"/>
    <x v="15"/>
    <n v="1323000"/>
    <n v="113400"/>
    <m/>
  </r>
  <r>
    <s v="NG20250017"/>
    <x v="15"/>
    <s v="Retail"/>
    <s v="Nasarawa State"/>
    <s v="Mararaba"/>
    <x v="1"/>
    <x v="2"/>
    <s v="Cash"/>
    <x v="9"/>
    <s v="Fashion"/>
    <n v="3"/>
    <n v="44100"/>
    <n v="26000"/>
    <n v="0.05"/>
    <x v="3"/>
    <s v="Pending"/>
    <n v="132300"/>
    <x v="16"/>
    <n v="78000"/>
    <n v="47685"/>
    <m/>
  </r>
  <r>
    <s v="NG20250018"/>
    <x v="16"/>
    <s v="Wholesale"/>
    <s v="Lagos State"/>
    <s v="Lagos"/>
    <x v="0"/>
    <x v="0"/>
    <s v="Cash"/>
    <x v="10"/>
    <s v="Furniture"/>
    <n v="4"/>
    <n v="166250"/>
    <n v="120000"/>
    <n v="0"/>
    <x v="3"/>
    <s v="Returned"/>
    <n v="665000"/>
    <x v="17"/>
    <n v="480000"/>
    <n v="185000"/>
    <m/>
  </r>
  <r>
    <s v="NG20250019"/>
    <x v="17"/>
    <s v="Wholesale"/>
    <s v="Plateau State"/>
    <s v="Jos"/>
    <x v="1"/>
    <x v="2"/>
    <s v="Mobile Money"/>
    <x v="1"/>
    <s v="Electronics"/>
    <n v="1"/>
    <n v="427500"/>
    <n v="350000"/>
    <n v="0.15"/>
    <x v="1"/>
    <s v="Delivered"/>
    <n v="427500"/>
    <x v="18"/>
    <n v="350000"/>
    <n v="13375"/>
    <m/>
  </r>
  <r>
    <s v="NG20250020"/>
    <x v="18"/>
    <s v="Corporate"/>
    <s v="Kaduna State"/>
    <s v="Kaduna"/>
    <x v="3"/>
    <x v="1"/>
    <s v="USSD"/>
    <x v="11"/>
    <s v="Electronics"/>
    <n v="6"/>
    <n v="152000"/>
    <n v="109250"/>
    <n v="0"/>
    <x v="1"/>
    <s v="Pending"/>
    <n v="912000"/>
    <x v="19"/>
    <n v="655500"/>
    <n v="256500"/>
    <m/>
  </r>
  <r>
    <s v="NG20250021"/>
    <x v="19"/>
    <s v="Corporate"/>
    <s v="Lagos State"/>
    <s v="Lagos"/>
    <x v="0"/>
    <x v="0"/>
    <s v="Cash"/>
    <x v="9"/>
    <s v="Fashion"/>
    <n v="5"/>
    <n v="44100"/>
    <n v="24700"/>
    <n v="0"/>
    <x v="5"/>
    <s v="Returned"/>
    <n v="220500"/>
    <x v="20"/>
    <n v="123500"/>
    <n v="97000"/>
    <m/>
  </r>
  <r>
    <s v="NG20250022"/>
    <x v="20"/>
    <s v="Retail"/>
    <s v="Enugu State"/>
    <s v="Enugu"/>
    <x v="2"/>
    <x v="1"/>
    <s v="Mobile Money"/>
    <x v="11"/>
    <s v="Electronics"/>
    <n v="3"/>
    <n v="160000"/>
    <n v="115000"/>
    <n v="0"/>
    <x v="3"/>
    <s v="Delivered"/>
    <n v="480000"/>
    <x v="21"/>
    <n v="345000"/>
    <n v="135000"/>
    <m/>
  </r>
  <r>
    <s v="NG20250023"/>
    <x v="21"/>
    <s v="Corporate"/>
    <s v="Rivers State"/>
    <s v="Port Harcourt"/>
    <x v="4"/>
    <x v="1"/>
    <s v="USSD"/>
    <x v="1"/>
    <s v="Electronics"/>
    <n v="15"/>
    <n v="495000"/>
    <n v="332500"/>
    <n v="0"/>
    <x v="5"/>
    <s v="Delivered"/>
    <n v="7425000"/>
    <x v="22"/>
    <n v="4987500"/>
    <n v="2437500"/>
    <m/>
  </r>
  <r>
    <s v="NG20250024"/>
    <x v="22"/>
    <s v="Corporate"/>
    <s v="Lagos State"/>
    <s v="Lagos"/>
    <x v="0"/>
    <x v="1"/>
    <s v="Cash"/>
    <x v="4"/>
    <s v="Home Appliances"/>
    <n v="1"/>
    <n v="43200"/>
    <n v="31500"/>
    <n v="0"/>
    <x v="5"/>
    <s v="Delivered"/>
    <n v="43200"/>
    <x v="23"/>
    <n v="31500"/>
    <n v="11700"/>
    <m/>
  </r>
  <r>
    <s v="NG20250025"/>
    <x v="23"/>
    <s v="Retail"/>
    <s v="FCT"/>
    <s v="Abuja"/>
    <x v="1"/>
    <x v="1"/>
    <s v="Mobile Money"/>
    <x v="5"/>
    <s v="Furniture"/>
    <n v="12"/>
    <n v="95000"/>
    <n v="58900"/>
    <n v="0.15"/>
    <x v="6"/>
    <s v="Delivered"/>
    <n v="1140000"/>
    <x v="24"/>
    <n v="706800"/>
    <n v="262200"/>
    <m/>
  </r>
  <r>
    <s v="NG20250026"/>
    <x v="24"/>
    <s v="Retail"/>
    <s v="Enugu State"/>
    <s v="Enugu"/>
    <x v="2"/>
    <x v="1"/>
    <s v="Bank Transfer"/>
    <x v="1"/>
    <s v="Electronics"/>
    <n v="1"/>
    <n v="427500"/>
    <n v="332500"/>
    <n v="0.1"/>
    <x v="5"/>
    <s v="Returned"/>
    <n v="427500"/>
    <x v="1"/>
    <n v="332500"/>
    <n v="52250"/>
    <m/>
  </r>
  <r>
    <s v="NG20250027"/>
    <x v="25"/>
    <s v="Wholesale"/>
    <s v="Anambra State"/>
    <s v="Onitsha"/>
    <x v="2"/>
    <x v="3"/>
    <s v="Debit Card"/>
    <x v="2"/>
    <s v="Groceries"/>
    <n v="1"/>
    <n v="16650"/>
    <n v="15225"/>
    <n v="0.15"/>
    <x v="5"/>
    <s v="Cancelled"/>
    <n v="16650"/>
    <x v="25"/>
    <n v="15225"/>
    <n v="-1072.5"/>
    <m/>
  </r>
  <r>
    <s v="NG20250028"/>
    <x v="26"/>
    <s v="Corporate"/>
    <s v="Edo State"/>
    <s v="Benin City"/>
    <x v="4"/>
    <x v="1"/>
    <s v="Debit Card"/>
    <x v="0"/>
    <s v="Fashion"/>
    <n v="2"/>
    <n v="22000"/>
    <n v="13650"/>
    <n v="0"/>
    <x v="3"/>
    <s v="Returned"/>
    <n v="44000"/>
    <x v="26"/>
    <n v="27300"/>
    <n v="16700"/>
    <m/>
  </r>
  <r>
    <s v="NG20250029"/>
    <x v="27"/>
    <s v="Wholesale"/>
    <s v="Kaduna State"/>
    <s v="Kaduna"/>
    <x v="3"/>
    <x v="3"/>
    <s v="Cash"/>
    <x v="1"/>
    <s v="Electronics"/>
    <n v="4"/>
    <n v="450000"/>
    <n v="332500"/>
    <n v="0"/>
    <x v="2"/>
    <s v="Delivered"/>
    <n v="1800000"/>
    <x v="27"/>
    <n v="1330000"/>
    <n v="470000"/>
    <m/>
  </r>
  <r>
    <s v="NG20250030"/>
    <x v="28"/>
    <s v="Wholesale"/>
    <s v="FCT"/>
    <s v="Abuja"/>
    <x v="1"/>
    <x v="0"/>
    <s v="Mobile Money"/>
    <x v="3"/>
    <s v="Electronics"/>
    <n v="3"/>
    <n v="266000"/>
    <n v="220500"/>
    <n v="0.1"/>
    <x v="4"/>
    <s v="Delivered"/>
    <n v="798000"/>
    <x v="28"/>
    <n v="661500"/>
    <n v="56700"/>
    <m/>
  </r>
  <r>
    <s v="NG20250031"/>
    <x v="29"/>
    <s v="Wholesale"/>
    <s v="Oyo State"/>
    <s v="Ibadan"/>
    <x v="0"/>
    <x v="2"/>
    <s v="Debit Card"/>
    <x v="0"/>
    <s v="Fashion"/>
    <n v="12"/>
    <n v="20900"/>
    <n v="13000"/>
    <n v="0"/>
    <x v="4"/>
    <s v="Returned"/>
    <n v="250800"/>
    <x v="29"/>
    <n v="156000"/>
    <n v="94800"/>
    <m/>
  </r>
  <r>
    <s v="NG20250032"/>
    <x v="30"/>
    <s v="Retail"/>
    <s v="FCT"/>
    <s v="Abuja"/>
    <x v="1"/>
    <x v="0"/>
    <s v="USSD"/>
    <x v="2"/>
    <s v="Groceries"/>
    <n v="5"/>
    <n v="17575"/>
    <n v="14500"/>
    <n v="0.1"/>
    <x v="4"/>
    <s v="Delivered"/>
    <n v="87875"/>
    <x v="30"/>
    <n v="72500"/>
    <n v="6587.5"/>
    <m/>
  </r>
  <r>
    <s v="NG20250033"/>
    <x v="31"/>
    <s v="Wholesale"/>
    <s v="Lagos State"/>
    <s v="Lagos"/>
    <x v="0"/>
    <x v="1"/>
    <s v="Mobile Money"/>
    <x v="1"/>
    <s v="Electronics"/>
    <n v="2"/>
    <n v="427500"/>
    <n v="350000"/>
    <n v="0"/>
    <x v="7"/>
    <s v="Cancelled"/>
    <n v="855000"/>
    <x v="31"/>
    <n v="700000"/>
    <n v="155000"/>
    <m/>
  </r>
  <r>
    <s v="NG20250034"/>
    <x v="32"/>
    <s v="Wholesale"/>
    <s v="Oyo State"/>
    <s v="Ibadan"/>
    <x v="0"/>
    <x v="2"/>
    <s v="USSD"/>
    <x v="3"/>
    <s v="Electronics"/>
    <n v="12"/>
    <n v="294000"/>
    <n v="210000"/>
    <n v="0.1"/>
    <x v="6"/>
    <s v="Delivered"/>
    <n v="3528000"/>
    <x v="32"/>
    <n v="2520000"/>
    <n v="655200"/>
    <m/>
  </r>
  <r>
    <s v="NG20250035"/>
    <x v="33"/>
    <s v="Retail"/>
    <s v="Nasarawa State"/>
    <s v="Mararaba"/>
    <x v="1"/>
    <x v="0"/>
    <s v="Debit Card"/>
    <x v="1"/>
    <s v="Electronics"/>
    <n v="3"/>
    <n v="495000"/>
    <n v="332500"/>
    <n v="0"/>
    <x v="0"/>
    <s v="Returned"/>
    <n v="1485000"/>
    <x v="33"/>
    <n v="997500"/>
    <n v="487500"/>
    <m/>
  </r>
  <r>
    <s v="NG20250036"/>
    <x v="34"/>
    <s v="Retail"/>
    <s v="Edo State"/>
    <s v="Benin City"/>
    <x v="4"/>
    <x v="3"/>
    <s v="USSD"/>
    <x v="2"/>
    <s v="Groceries"/>
    <n v="1"/>
    <n v="17575"/>
    <n v="14500"/>
    <n v="0"/>
    <x v="5"/>
    <s v="Delivered"/>
    <n v="17575"/>
    <x v="34"/>
    <n v="14500"/>
    <n v="3075"/>
    <m/>
  </r>
  <r>
    <s v="NG20250037"/>
    <x v="35"/>
    <s v="Retail"/>
    <s v="Ogun State"/>
    <s v="Abeokuta"/>
    <x v="0"/>
    <x v="1"/>
    <s v="Debit Card"/>
    <x v="5"/>
    <s v="Furniture"/>
    <n v="6"/>
    <n v="85500"/>
    <n v="65100"/>
    <n v="0"/>
    <x v="4"/>
    <s v="Delivered"/>
    <n v="513000"/>
    <x v="35"/>
    <n v="390600"/>
    <n v="122400"/>
    <m/>
  </r>
  <r>
    <s v="NG20250038"/>
    <x v="36"/>
    <s v="Corporate"/>
    <s v="FCT"/>
    <s v="Abuja"/>
    <x v="1"/>
    <x v="3"/>
    <s v="Mobile Money"/>
    <x v="11"/>
    <s v="Electronics"/>
    <n v="1"/>
    <n v="152000"/>
    <n v="120750"/>
    <n v="0"/>
    <x v="0"/>
    <s v="Delivered"/>
    <n v="152000"/>
    <x v="36"/>
    <n v="120750"/>
    <n v="31250"/>
    <m/>
  </r>
  <r>
    <s v="NG20250039"/>
    <x v="37"/>
    <s v="Corporate"/>
    <s v="Enugu State"/>
    <s v="Enugu"/>
    <x v="2"/>
    <x v="0"/>
    <s v="Bank Transfer"/>
    <x v="0"/>
    <s v="Fashion"/>
    <n v="2"/>
    <n v="19800"/>
    <n v="12350"/>
    <n v="0"/>
    <x v="0"/>
    <s v="Cancelled"/>
    <n v="39600"/>
    <x v="37"/>
    <n v="24700"/>
    <n v="14900"/>
    <m/>
  </r>
  <r>
    <s v="NG20250040"/>
    <x v="38"/>
    <s v="Corporate"/>
    <s v="Edo State"/>
    <s v="Benin City"/>
    <x v="4"/>
    <x v="0"/>
    <s v="USSD"/>
    <x v="10"/>
    <s v="Furniture"/>
    <n v="6"/>
    <n v="175000"/>
    <n v="114000"/>
    <n v="0.05"/>
    <x v="7"/>
    <s v="Delivered"/>
    <n v="1050000"/>
    <x v="38"/>
    <n v="684000"/>
    <n v="313500"/>
    <m/>
  </r>
  <r>
    <s v="NG20250041"/>
    <x v="39"/>
    <s v="Wholesale"/>
    <s v="Enugu State"/>
    <s v="Enugu"/>
    <x v="2"/>
    <x v="3"/>
    <s v="Mobile Money"/>
    <x v="7"/>
    <s v="Groceries"/>
    <n v="5"/>
    <n v="99750"/>
    <n v="82000"/>
    <n v="0"/>
    <x v="2"/>
    <s v="Delivered"/>
    <n v="498750"/>
    <x v="39"/>
    <n v="410000"/>
    <n v="88750"/>
    <m/>
  </r>
  <r>
    <s v="NG20250042"/>
    <x v="40"/>
    <s v="Corporate"/>
    <s v="Oyo State"/>
    <s v="Ibadan"/>
    <x v="0"/>
    <x v="3"/>
    <s v="Mobile Money"/>
    <x v="0"/>
    <s v="Fashion"/>
    <n v="5"/>
    <n v="22000"/>
    <n v="13000"/>
    <n v="0.15"/>
    <x v="6"/>
    <s v="Delivered"/>
    <n v="110000"/>
    <x v="40"/>
    <n v="65000"/>
    <n v="28500"/>
    <m/>
  </r>
  <r>
    <s v="NG20250043"/>
    <x v="41"/>
    <s v="Corporate"/>
    <s v="Kano State"/>
    <s v="Kano"/>
    <x v="3"/>
    <x v="0"/>
    <s v="Debit Card"/>
    <x v="11"/>
    <s v="Electronics"/>
    <n v="5"/>
    <n v="160000"/>
    <n v="115000"/>
    <n v="0.1"/>
    <x v="4"/>
    <s v="Delivered"/>
    <n v="800000"/>
    <x v="41"/>
    <n v="575000"/>
    <n v="145000"/>
    <m/>
  </r>
  <r>
    <s v="NG20250044"/>
    <x v="31"/>
    <s v="Wholesale"/>
    <s v="Kano State"/>
    <s v="Kano"/>
    <x v="3"/>
    <x v="2"/>
    <s v="Mobile Money"/>
    <x v="11"/>
    <s v="Electronics"/>
    <n v="6"/>
    <n v="160000"/>
    <n v="115000"/>
    <n v="0.05"/>
    <x v="1"/>
    <s v="Pending"/>
    <n v="960000"/>
    <x v="19"/>
    <n v="690000"/>
    <n v="222000"/>
    <m/>
  </r>
  <r>
    <s v="NG20250044"/>
    <x v="31"/>
    <s v="Corporate"/>
    <s v="Ogun State"/>
    <s v="Abeokuta"/>
    <x v="0"/>
    <x v="2"/>
    <s v="Cash"/>
    <x v="11"/>
    <s v="Fashion"/>
    <n v="6"/>
    <n v="160000"/>
    <n v="26000"/>
    <n v="0"/>
    <x v="6"/>
    <s v="Returned"/>
    <n v="960000"/>
    <x v="42"/>
    <n v="156000"/>
    <n v="804000"/>
    <m/>
  </r>
  <r>
    <s v="NG20250046"/>
    <x v="42"/>
    <s v="Wholesale"/>
    <s v="Lagos State"/>
    <s v="Lagos"/>
    <x v="0"/>
    <x v="2"/>
    <s v="USSD"/>
    <x v="1"/>
    <s v="Electronics"/>
    <n v="2"/>
    <n v="450000"/>
    <n v="332500"/>
    <n v="0.05"/>
    <x v="1"/>
    <s v="Returned"/>
    <n v="900000"/>
    <x v="31"/>
    <n v="665000"/>
    <n v="190000"/>
    <m/>
  </r>
  <r>
    <s v="NG20250047"/>
    <x v="43"/>
    <s v="Retail"/>
    <s v="FCT"/>
    <s v="Abuja"/>
    <x v="1"/>
    <x v="1"/>
    <s v="Bank Transfer"/>
    <x v="4"/>
    <s v="Home Appliances"/>
    <n v="1"/>
    <n v="50400"/>
    <n v="28500"/>
    <n v="0"/>
    <x v="5"/>
    <s v="Delivered"/>
    <n v="50400"/>
    <x v="43"/>
    <n v="28500"/>
    <n v="21900"/>
    <m/>
  </r>
  <r>
    <s v="NG20250048"/>
    <x v="44"/>
    <s v="Wholesale"/>
    <s v="Kaduna State"/>
    <s v="Kaduna"/>
    <x v="3"/>
    <x v="1"/>
    <s v="Mobile Money"/>
    <x v="3"/>
    <s v="Electronics"/>
    <n v="1"/>
    <n v="280000"/>
    <n v="210000"/>
    <n v="0.05"/>
    <x v="1"/>
    <s v="Returned"/>
    <n v="280000"/>
    <x v="44"/>
    <n v="210000"/>
    <n v="56000"/>
    <m/>
  </r>
  <r>
    <s v="NG20250049"/>
    <x v="45"/>
    <s v="Wholesale"/>
    <s v="Edo State"/>
    <s v="Benin City"/>
    <x v="4"/>
    <x v="1"/>
    <s v="Cash"/>
    <x v="6"/>
    <s v="Electronics"/>
    <n v="8"/>
    <n v="180000"/>
    <n v="130000"/>
    <n v="0"/>
    <x v="4"/>
    <s v="Delivered"/>
    <n v="1440000"/>
    <x v="45"/>
    <n v="1040000"/>
    <n v="400000"/>
    <m/>
  </r>
  <r>
    <s v="NG20250050"/>
    <x v="46"/>
    <s v="Retail"/>
    <s v="Oyo State"/>
    <s v="Ibadan"/>
    <x v="0"/>
    <x v="2"/>
    <s v="Cash"/>
    <x v="8"/>
    <s v="Home Appliances"/>
    <n v="5"/>
    <n v="118750"/>
    <n v="85000"/>
    <n v="0"/>
    <x v="5"/>
    <s v="Cancelled"/>
    <n v="593750"/>
    <x v="46"/>
    <n v="425000"/>
    <n v="168750"/>
    <m/>
  </r>
  <r>
    <s v="NG20250051"/>
    <x v="47"/>
    <s v="Wholesale"/>
    <s v="Edo State"/>
    <s v="Benin City"/>
    <x v="4"/>
    <x v="1"/>
    <s v="USSD"/>
    <x v="4"/>
    <s v="Home Appliances"/>
    <n v="1"/>
    <n v="45600"/>
    <n v="28500"/>
    <n v="0.05"/>
    <x v="7"/>
    <s v="Delivered"/>
    <n v="45600"/>
    <x v="47"/>
    <n v="28500"/>
    <n v="14820"/>
    <m/>
  </r>
  <r>
    <s v="NG20250052"/>
    <x v="48"/>
    <s v="Retail"/>
    <s v="Kano State"/>
    <s v="Kano"/>
    <x v="3"/>
    <x v="3"/>
    <s v="Debit Card"/>
    <x v="11"/>
    <s v="Electronics"/>
    <n v="3"/>
    <n v="176000"/>
    <n v="109250"/>
    <n v="0.1"/>
    <x v="0"/>
    <s v="Pending"/>
    <n v="528000"/>
    <x v="48"/>
    <n v="327750"/>
    <n v="147450"/>
    <m/>
  </r>
  <r>
    <s v="NG20250053"/>
    <x v="49"/>
    <s v="Corporate"/>
    <s v="Enugu State"/>
    <s v="Enugu"/>
    <x v="2"/>
    <x v="1"/>
    <s v="Bank Transfer"/>
    <x v="4"/>
    <s v="Home Appliances"/>
    <n v="6"/>
    <n v="48000"/>
    <n v="30000"/>
    <n v="0.05"/>
    <x v="0"/>
    <s v="Delivered"/>
    <n v="288000"/>
    <x v="49"/>
    <n v="180000"/>
    <n v="93600"/>
    <m/>
  </r>
  <r>
    <s v="NG20250054"/>
    <x v="50"/>
    <s v="Wholesale"/>
    <s v="Rivers State"/>
    <s v="Port Harcourt"/>
    <x v="4"/>
    <x v="0"/>
    <s v="USSD"/>
    <x v="10"/>
    <s v="Furniture"/>
    <n v="5"/>
    <n v="175000"/>
    <n v="120000"/>
    <n v="0.05"/>
    <x v="7"/>
    <s v="Cancelled"/>
    <n v="875000"/>
    <x v="50"/>
    <n v="600000"/>
    <n v="231250"/>
    <m/>
  </r>
  <r>
    <s v="NG20250055"/>
    <x v="51"/>
    <s v="Corporate"/>
    <s v="Rivers State"/>
    <s v="Port Harcourt"/>
    <x v="4"/>
    <x v="3"/>
    <s v="Cash"/>
    <x v="3"/>
    <s v="Electronics"/>
    <n v="3"/>
    <n v="308000"/>
    <n v="220500"/>
    <n v="0"/>
    <x v="1"/>
    <s v="Delivered"/>
    <n v="924000"/>
    <x v="51"/>
    <n v="661500"/>
    <n v="262500"/>
    <m/>
  </r>
  <r>
    <s v="NG20250056"/>
    <x v="52"/>
    <s v="Corporate"/>
    <s v="Plateau State"/>
    <s v="Jos"/>
    <x v="1"/>
    <x v="0"/>
    <s v="Mobile Money"/>
    <x v="10"/>
    <s v="Furniture"/>
    <n v="6"/>
    <n v="175000"/>
    <n v="120000"/>
    <n v="0.05"/>
    <x v="7"/>
    <s v="Delivered"/>
    <n v="1050000"/>
    <x v="38"/>
    <n v="720000"/>
    <n v="277500"/>
    <m/>
  </r>
  <r>
    <s v="NG20250057"/>
    <x v="53"/>
    <s v="Retail"/>
    <s v="FCT"/>
    <s v="Abuja"/>
    <x v="1"/>
    <x v="2"/>
    <s v="Cash"/>
    <x v="10"/>
    <s v="Furniture"/>
    <n v="5"/>
    <n v="192500"/>
    <n v="114000"/>
    <n v="0"/>
    <x v="6"/>
    <s v="Delivered"/>
    <n v="962500"/>
    <x v="52"/>
    <n v="570000"/>
    <n v="392500"/>
    <m/>
  </r>
  <r>
    <s v="NG20250058"/>
    <x v="54"/>
    <s v="Retail"/>
    <s v="Rivers State"/>
    <s v="Port Harcourt"/>
    <x v="4"/>
    <x v="0"/>
    <s v="Cash"/>
    <x v="8"/>
    <s v="Home Appliances"/>
    <n v="1"/>
    <n v="118750"/>
    <n v="89250"/>
    <n v="0.15"/>
    <x v="4"/>
    <s v="Delivered"/>
    <n v="118750"/>
    <x v="53"/>
    <n v="89250"/>
    <n v="11687.5"/>
    <m/>
  </r>
  <r>
    <s v="NG20250059"/>
    <x v="1"/>
    <s v="Wholesale"/>
    <s v="Anambra State"/>
    <s v="Onitsha"/>
    <x v="2"/>
    <x v="2"/>
    <s v="Bank Transfer"/>
    <x v="3"/>
    <s v="Electronics"/>
    <n v="1"/>
    <n v="280000"/>
    <n v="220500"/>
    <n v="0.05"/>
    <x v="4"/>
    <s v="Delivered"/>
    <n v="280000"/>
    <x v="44"/>
    <n v="220500"/>
    <n v="45500"/>
    <m/>
  </r>
  <r>
    <s v="NG20250060"/>
    <x v="55"/>
    <s v="Wholesale"/>
    <s v="Anambra State"/>
    <s v="Onitsha"/>
    <x v="2"/>
    <x v="3"/>
    <s v="Bank Transfer"/>
    <x v="0"/>
    <s v="Fashion"/>
    <n v="6"/>
    <n v="24200"/>
    <n v="12350"/>
    <n v="0"/>
    <x v="2"/>
    <s v="Pending"/>
    <n v="145200"/>
    <x v="54"/>
    <n v="74100"/>
    <n v="71100"/>
    <m/>
  </r>
  <r>
    <s v="NG20250061"/>
    <x v="5"/>
    <s v="Wholesale"/>
    <s v="Kano State"/>
    <s v="Kano"/>
    <x v="3"/>
    <x v="2"/>
    <s v="USSD"/>
    <x v="1"/>
    <s v="Electronics"/>
    <n v="8"/>
    <n v="405000"/>
    <n v="367500"/>
    <n v="0"/>
    <x v="6"/>
    <s v="Pending"/>
    <n v="3240000"/>
    <x v="55"/>
    <n v="2940000"/>
    <n v="300000"/>
    <m/>
  </r>
  <r>
    <s v="NG20250062"/>
    <x v="56"/>
    <s v="Wholesale"/>
    <s v="Enugu State"/>
    <s v="Enugu"/>
    <x v="2"/>
    <x v="3"/>
    <s v="Debit Card"/>
    <x v="9"/>
    <s v="Fashion"/>
    <n v="12"/>
    <n v="42000"/>
    <n v="27300"/>
    <n v="0.05"/>
    <x v="5"/>
    <s v="Returned"/>
    <n v="504000"/>
    <x v="56"/>
    <n v="327600"/>
    <n v="151200"/>
    <m/>
  </r>
  <r>
    <s v="NG20250063"/>
    <x v="57"/>
    <s v="Corporate"/>
    <s v="Nasarawa State"/>
    <s v="Mararaba"/>
    <x v="1"/>
    <x v="3"/>
    <s v="Bank Transfer"/>
    <x v="3"/>
    <s v="Electronics"/>
    <n v="10"/>
    <n v="266000"/>
    <n v="220500"/>
    <n v="0.1"/>
    <x v="1"/>
    <s v="Returned"/>
    <n v="2660000"/>
    <x v="57"/>
    <n v="2205000"/>
    <n v="189000"/>
    <m/>
  </r>
  <r>
    <s v="NG20250064"/>
    <x v="58"/>
    <s v="Wholesale"/>
    <s v="Ogun State"/>
    <s v="Abeokuta"/>
    <x v="0"/>
    <x v="3"/>
    <s v="Mobile Money"/>
    <x v="10"/>
    <s v="Furniture"/>
    <n v="3"/>
    <n v="175000"/>
    <n v="120000"/>
    <n v="0"/>
    <x v="7"/>
    <s v="Cancelled"/>
    <n v="525000"/>
    <x v="58"/>
    <n v="360000"/>
    <n v="165000"/>
    <m/>
  </r>
  <r>
    <s v="NG20250065"/>
    <x v="59"/>
    <s v="Wholesale"/>
    <s v="FCT"/>
    <s v="Abuja"/>
    <x v="1"/>
    <x v="1"/>
    <s v="USSD"/>
    <x v="7"/>
    <s v="Groceries"/>
    <n v="1"/>
    <n v="99750"/>
    <n v="86100"/>
    <n v="0.05"/>
    <x v="1"/>
    <s v="Delivered"/>
    <n v="99750"/>
    <x v="59"/>
    <n v="86100"/>
    <n v="8662.5"/>
    <m/>
  </r>
  <r>
    <s v="NG20250066"/>
    <x v="60"/>
    <s v="Corporate"/>
    <s v="Oyo State"/>
    <s v="Ibadan"/>
    <x v="0"/>
    <x v="1"/>
    <s v="Mobile Money"/>
    <x v="1"/>
    <s v="Electronics"/>
    <n v="2"/>
    <n v="450000"/>
    <n v="350000"/>
    <n v="0"/>
    <x v="2"/>
    <s v="Cancelled"/>
    <n v="900000"/>
    <x v="60"/>
    <n v="700000"/>
    <n v="200000"/>
    <m/>
  </r>
  <r>
    <s v="NG20250067"/>
    <x v="61"/>
    <s v="Retail"/>
    <s v="Edo State"/>
    <s v="Benin City"/>
    <x v="4"/>
    <x v="0"/>
    <s v="Cash"/>
    <x v="4"/>
    <s v="Home Appliances"/>
    <n v="4"/>
    <n v="48000"/>
    <n v="31500"/>
    <n v="0"/>
    <x v="2"/>
    <s v="Delivered"/>
    <n v="192000"/>
    <x v="61"/>
    <n v="126000"/>
    <n v="66000"/>
    <m/>
  </r>
  <r>
    <s v="NG20250068"/>
    <x v="62"/>
    <s v="Corporate"/>
    <s v="Edo State"/>
    <s v="Benin City"/>
    <x v="4"/>
    <x v="3"/>
    <s v="Mobile Money"/>
    <x v="3"/>
    <s v="Electronics"/>
    <n v="4"/>
    <n v="308000"/>
    <n v="210000"/>
    <n v="0"/>
    <x v="4"/>
    <s v="Returned"/>
    <n v="1232000"/>
    <x v="62"/>
    <n v="840000"/>
    <n v="392000"/>
    <m/>
  </r>
  <r>
    <s v="NG20250069"/>
    <x v="63"/>
    <s v="Wholesale"/>
    <s v="FCT"/>
    <s v="Abuja"/>
    <x v="1"/>
    <x v="2"/>
    <s v="Debit Card"/>
    <x v="3"/>
    <s v="Electronics"/>
    <n v="2"/>
    <n v="280000"/>
    <n v="210000"/>
    <n v="0"/>
    <x v="7"/>
    <s v="Returned"/>
    <n v="560000"/>
    <x v="63"/>
    <n v="420000"/>
    <n v="140000"/>
    <m/>
  </r>
  <r>
    <s v="NG20250070"/>
    <x v="64"/>
    <s v="Corporate"/>
    <s v="Enugu State"/>
    <s v="Enugu"/>
    <x v="2"/>
    <x v="1"/>
    <s v="USSD"/>
    <x v="1"/>
    <s v="Electronics"/>
    <n v="2"/>
    <n v="427500"/>
    <n v="367500"/>
    <n v="0"/>
    <x v="1"/>
    <s v="Cancelled"/>
    <n v="855000"/>
    <x v="31"/>
    <n v="735000"/>
    <n v="120000"/>
    <m/>
  </r>
  <r>
    <s v="NG20250071"/>
    <x v="65"/>
    <s v="Corporate"/>
    <s v="Ogun State"/>
    <s v="Abeokuta"/>
    <x v="0"/>
    <x v="0"/>
    <s v="Mobile Money"/>
    <x v="10"/>
    <s v="Furniture"/>
    <n v="12"/>
    <n v="175000"/>
    <n v="126000"/>
    <n v="0"/>
    <x v="7"/>
    <s v="Pending"/>
    <n v="2100000"/>
    <x v="64"/>
    <n v="1512000"/>
    <n v="588000"/>
    <m/>
  </r>
  <r>
    <s v="NG20250072"/>
    <x v="66"/>
    <s v="Corporate"/>
    <s v="Ogun State"/>
    <s v="Abeokuta"/>
    <x v="0"/>
    <x v="2"/>
    <s v="Mobile Money"/>
    <x v="6"/>
    <s v="Electronics"/>
    <n v="6"/>
    <n v="180000"/>
    <n v="123500"/>
    <n v="0"/>
    <x v="0"/>
    <s v="Cancelled"/>
    <n v="1080000"/>
    <x v="65"/>
    <n v="741000"/>
    <n v="339000"/>
    <m/>
  </r>
  <r>
    <s v="NG20250073"/>
    <x v="41"/>
    <s v="Retail"/>
    <s v="Kaduna State"/>
    <s v="Kaduna"/>
    <x v="3"/>
    <x v="0"/>
    <s v="Cash"/>
    <x v="8"/>
    <s v="Home Appliances"/>
    <n v="2"/>
    <n v="125000"/>
    <n v="89250"/>
    <n v="0"/>
    <x v="5"/>
    <s v="Cancelled"/>
    <n v="250000"/>
    <x v="66"/>
    <n v="178500"/>
    <n v="71500"/>
    <m/>
  </r>
  <r>
    <s v="NG20250074"/>
    <x v="67"/>
    <s v="Retail"/>
    <s v="Rivers State"/>
    <s v="Port Harcourt"/>
    <x v="4"/>
    <x v="1"/>
    <s v="USSD"/>
    <x v="5"/>
    <s v="Furniture"/>
    <n v="1"/>
    <n v="90250"/>
    <n v="62000"/>
    <n v="0.1"/>
    <x v="1"/>
    <s v="Delivered"/>
    <n v="90250"/>
    <x v="67"/>
    <n v="62000"/>
    <n v="19225"/>
    <m/>
  </r>
  <r>
    <s v="NG20250075"/>
    <x v="22"/>
    <s v="Wholesale"/>
    <s v="Lagos State"/>
    <s v="Lagos"/>
    <x v="0"/>
    <x v="2"/>
    <s v="Debit Card"/>
    <x v="5"/>
    <s v="Furniture"/>
    <n v="2"/>
    <n v="99750"/>
    <n v="62000"/>
    <n v="0.15"/>
    <x v="5"/>
    <s v="Delivered"/>
    <n v="199500"/>
    <x v="68"/>
    <n v="124000"/>
    <n v="45575"/>
    <m/>
  </r>
  <r>
    <s v="NG20250076"/>
    <x v="68"/>
    <s v="Retail"/>
    <s v="Oyo State"/>
    <s v="Ibadan"/>
    <x v="0"/>
    <x v="2"/>
    <s v="Debit Card"/>
    <x v="4"/>
    <s v="Home Appliances"/>
    <n v="4"/>
    <n v="50400"/>
    <n v="30000"/>
    <n v="0"/>
    <x v="4"/>
    <s v="Delivered"/>
    <n v="201600"/>
    <x v="69"/>
    <n v="120000"/>
    <n v="81600"/>
    <m/>
  </r>
  <r>
    <s v="NG20250077"/>
    <x v="69"/>
    <s v="Corporate"/>
    <s v="Oyo State"/>
    <s v="Ibadan"/>
    <x v="0"/>
    <x v="1"/>
    <s v="Bank Transfer"/>
    <x v="8"/>
    <s v="Home Appliances"/>
    <n v="3"/>
    <n v="125000"/>
    <n v="89250"/>
    <n v="0"/>
    <x v="7"/>
    <s v="Cancelled"/>
    <n v="375000"/>
    <x v="70"/>
    <n v="267750"/>
    <n v="107250"/>
    <m/>
  </r>
  <r>
    <s v="NG20250078"/>
    <x v="70"/>
    <s v="Wholesale"/>
    <s v="Edo State"/>
    <s v="Benin City"/>
    <x v="4"/>
    <x v="0"/>
    <s v="Debit Card"/>
    <x v="4"/>
    <s v="Home Appliances"/>
    <n v="2"/>
    <n v="48000"/>
    <n v="28500"/>
    <n v="0"/>
    <x v="7"/>
    <s v="Returned"/>
    <n v="96000"/>
    <x v="71"/>
    <n v="57000"/>
    <n v="39000"/>
    <m/>
  </r>
  <r>
    <s v="NG20250079"/>
    <x v="8"/>
    <s v="Wholesale"/>
    <s v="Kaduna State"/>
    <s v="Kaduna"/>
    <x v="3"/>
    <x v="1"/>
    <s v="Bank Transfer"/>
    <x v="6"/>
    <s v="Electronics"/>
    <n v="3"/>
    <n v="180000"/>
    <n v="130000"/>
    <n v="0"/>
    <x v="1"/>
    <s v="Pending"/>
    <n v="540000"/>
    <x v="72"/>
    <n v="390000"/>
    <n v="150000"/>
    <m/>
  </r>
  <r>
    <s v="NG20250080"/>
    <x v="71"/>
    <s v="Wholesale"/>
    <s v="Kano State"/>
    <s v="Kano"/>
    <x v="3"/>
    <x v="1"/>
    <s v="Debit Card"/>
    <x v="10"/>
    <s v="Furniture"/>
    <n v="2"/>
    <n v="183750"/>
    <n v="114000"/>
    <n v="0"/>
    <x v="0"/>
    <s v="Pending"/>
    <n v="367500"/>
    <x v="73"/>
    <n v="228000"/>
    <n v="139500"/>
    <m/>
  </r>
  <r>
    <s v="NG20250081"/>
    <x v="72"/>
    <s v="Wholesale"/>
    <s v="Lagos State"/>
    <s v="Lagos"/>
    <x v="0"/>
    <x v="0"/>
    <s v="Mobile Money"/>
    <x v="7"/>
    <s v="Groceries"/>
    <n v="3"/>
    <n v="95000"/>
    <n v="82000"/>
    <n v="0"/>
    <x v="1"/>
    <s v="Pending"/>
    <n v="285000"/>
    <x v="74"/>
    <n v="246000"/>
    <n v="39000"/>
    <m/>
  </r>
  <r>
    <s v="NG20250082"/>
    <x v="31"/>
    <s v="Retail"/>
    <s v="Lagos State"/>
    <s v="Lagos"/>
    <x v="0"/>
    <x v="3"/>
    <s v="Mobile Money"/>
    <x v="4"/>
    <s v="Home Appliances"/>
    <n v="2"/>
    <n v="48000"/>
    <n v="31500"/>
    <n v="0.15"/>
    <x v="6"/>
    <s v="Delivered"/>
    <n v="96000"/>
    <x v="75"/>
    <n v="63000"/>
    <n v="18600"/>
    <m/>
  </r>
  <r>
    <s v="NG20250083"/>
    <x v="73"/>
    <s v="Retail"/>
    <s v="Kaduna State"/>
    <s v="Kaduna"/>
    <x v="3"/>
    <x v="2"/>
    <s v="Debit Card"/>
    <x v="5"/>
    <s v="Furniture"/>
    <n v="10"/>
    <n v="95000"/>
    <n v="58900"/>
    <n v="0"/>
    <x v="7"/>
    <s v="Cancelled"/>
    <n v="950000"/>
    <x v="76"/>
    <n v="589000"/>
    <n v="361000"/>
    <m/>
  </r>
  <r>
    <s v="NG20250084"/>
    <x v="66"/>
    <s v="Retail"/>
    <s v="Kano State"/>
    <s v="Kano"/>
    <x v="3"/>
    <x v="1"/>
    <s v="Debit Card"/>
    <x v="7"/>
    <s v="Groceries"/>
    <n v="1"/>
    <n v="104500"/>
    <n v="77900"/>
    <n v="0.05"/>
    <x v="4"/>
    <s v="Returned"/>
    <n v="104500"/>
    <x v="77"/>
    <n v="77900"/>
    <n v="21375"/>
    <m/>
  </r>
  <r>
    <s v="NG20250085"/>
    <x v="74"/>
    <s v="Retail"/>
    <s v="Kaduna State"/>
    <s v="Kaduna"/>
    <x v="3"/>
    <x v="2"/>
    <s v="Bank Transfer"/>
    <x v="4"/>
    <s v="Home Appliances"/>
    <n v="15"/>
    <n v="45600"/>
    <n v="31500"/>
    <n v="0.1"/>
    <x v="4"/>
    <s v="Pending"/>
    <n v="684000"/>
    <x v="78"/>
    <n v="472500"/>
    <n v="143100"/>
    <m/>
  </r>
  <r>
    <s v="NG20250086"/>
    <x v="75"/>
    <s v="Corporate"/>
    <s v="Plateau State"/>
    <s v="Jos"/>
    <x v="1"/>
    <x v="1"/>
    <s v="Cash"/>
    <x v="4"/>
    <s v="Home Appliances"/>
    <n v="12"/>
    <n v="48000"/>
    <n v="30000"/>
    <n v="0"/>
    <x v="1"/>
    <s v="Returned"/>
    <n v="576000"/>
    <x v="79"/>
    <n v="360000"/>
    <n v="216000"/>
    <m/>
  </r>
  <r>
    <s v="NG20250087"/>
    <x v="76"/>
    <s v="Wholesale"/>
    <s v="Kaduna State"/>
    <s v="Kaduna"/>
    <x v="3"/>
    <x v="2"/>
    <s v="Mobile Money"/>
    <x v="7"/>
    <s v="Groceries"/>
    <n v="2"/>
    <n v="95000"/>
    <n v="86100"/>
    <n v="0.05"/>
    <x v="0"/>
    <s v="Delivered"/>
    <n v="190000"/>
    <x v="80"/>
    <n v="172200"/>
    <n v="8300"/>
    <m/>
  </r>
  <r>
    <s v="NG20250088"/>
    <x v="77"/>
    <s v="Wholesale"/>
    <s v="Kano State"/>
    <s v="Kano"/>
    <x v="3"/>
    <x v="2"/>
    <s v="USSD"/>
    <x v="11"/>
    <s v="Electronics"/>
    <n v="1"/>
    <n v="168000"/>
    <n v="120750"/>
    <n v="0.15"/>
    <x v="7"/>
    <s v="Pending"/>
    <n v="168000"/>
    <x v="81"/>
    <n v="120750"/>
    <n v="22050"/>
    <m/>
  </r>
  <r>
    <s v="NG20250089"/>
    <x v="78"/>
    <s v="Corporate"/>
    <s v="Enugu State"/>
    <s v="Enugu"/>
    <x v="2"/>
    <x v="0"/>
    <s v="Cash"/>
    <x v="6"/>
    <s v="Electronics"/>
    <n v="12"/>
    <n v="180000"/>
    <n v="123500"/>
    <n v="0.05"/>
    <x v="0"/>
    <s v="Cancelled"/>
    <n v="2160000"/>
    <x v="82"/>
    <n v="1482000"/>
    <n v="570000"/>
    <m/>
  </r>
  <r>
    <s v="NG20250090"/>
    <x v="79"/>
    <s v="Corporate"/>
    <s v="Ogun State"/>
    <s v="Abeokuta"/>
    <x v="0"/>
    <x v="0"/>
    <s v="Debit Card"/>
    <x v="0"/>
    <s v="Fashion"/>
    <n v="1"/>
    <n v="24200"/>
    <n v="13000"/>
    <n v="0"/>
    <x v="0"/>
    <s v="Returned"/>
    <n v="24200"/>
    <x v="83"/>
    <n v="13000"/>
    <n v="11200"/>
    <m/>
  </r>
  <r>
    <s v="NG20250091"/>
    <x v="32"/>
    <s v="Retail"/>
    <s v="Rivers State"/>
    <s v="Port Harcourt"/>
    <x v="4"/>
    <x v="2"/>
    <s v="Debit Card"/>
    <x v="10"/>
    <s v="Furniture"/>
    <n v="5"/>
    <n v="192500"/>
    <n v="126000"/>
    <n v="0.1"/>
    <x v="5"/>
    <s v="Cancelled"/>
    <n v="962500"/>
    <x v="84"/>
    <n v="630000"/>
    <n v="236250"/>
    <m/>
  </r>
  <r>
    <s v="NG20250092"/>
    <x v="80"/>
    <s v="Corporate"/>
    <s v="Oyo State"/>
    <s v="Ibadan"/>
    <x v="0"/>
    <x v="0"/>
    <s v="Bank Transfer"/>
    <x v="9"/>
    <s v="Fashion"/>
    <n v="3"/>
    <n v="37800"/>
    <n v="24700"/>
    <n v="0.05"/>
    <x v="2"/>
    <s v="Returned"/>
    <n v="113400"/>
    <x v="85"/>
    <n v="74100"/>
    <n v="33630"/>
    <m/>
  </r>
  <r>
    <s v="NG20250093"/>
    <x v="81"/>
    <s v="Wholesale"/>
    <s v="Nasarawa State"/>
    <s v="Mararaba"/>
    <x v="1"/>
    <x v="2"/>
    <s v="Cash"/>
    <x v="1"/>
    <s v="Electronics"/>
    <n v="2"/>
    <n v="450000"/>
    <n v="350000"/>
    <n v="0"/>
    <x v="6"/>
    <s v="Pending"/>
    <n v="900000"/>
    <x v="60"/>
    <n v="700000"/>
    <n v="200000"/>
    <m/>
  </r>
  <r>
    <s v="NG20250094"/>
    <x v="25"/>
    <s v="Retail"/>
    <s v="Anambra State"/>
    <s v="Onitsha"/>
    <x v="2"/>
    <x v="1"/>
    <s v="Debit Card"/>
    <x v="3"/>
    <s v="Electronics"/>
    <n v="8"/>
    <n v="280000"/>
    <n v="210000"/>
    <n v="0.05"/>
    <x v="1"/>
    <s v="Delivered"/>
    <n v="2240000"/>
    <x v="5"/>
    <n v="1680000"/>
    <n v="448000"/>
    <m/>
  </r>
  <r>
    <s v="NG20250095"/>
    <x v="82"/>
    <s v="Retail"/>
    <s v="Rivers State"/>
    <s v="Port Harcourt"/>
    <x v="4"/>
    <x v="0"/>
    <s v="USSD"/>
    <x v="5"/>
    <s v="Furniture"/>
    <n v="1"/>
    <n v="104500"/>
    <n v="65100"/>
    <n v="0"/>
    <x v="2"/>
    <s v="Cancelled"/>
    <n v="104500"/>
    <x v="86"/>
    <n v="65100"/>
    <n v="39400"/>
    <m/>
  </r>
  <r>
    <s v="NG20250096"/>
    <x v="83"/>
    <s v="Corporate"/>
    <s v="Nasarawa State"/>
    <s v="Mararaba"/>
    <x v="1"/>
    <x v="1"/>
    <s v="Bank Transfer"/>
    <x v="2"/>
    <s v="Groceries"/>
    <n v="4"/>
    <n v="18500"/>
    <n v="14500"/>
    <n v="0.05"/>
    <x v="5"/>
    <s v="Delivered"/>
    <n v="74000"/>
    <x v="87"/>
    <n v="58000"/>
    <n v="12300"/>
    <m/>
  </r>
  <r>
    <s v="NG20250097"/>
    <x v="18"/>
    <s v="Corporate"/>
    <s v="Anambra State"/>
    <s v="Onitsha"/>
    <x v="2"/>
    <x v="0"/>
    <s v="Mobile Money"/>
    <x v="4"/>
    <s v="Home Appliances"/>
    <n v="2"/>
    <n v="48000"/>
    <n v="30000"/>
    <n v="0"/>
    <x v="7"/>
    <s v="Pending"/>
    <n v="96000"/>
    <x v="71"/>
    <n v="60000"/>
    <n v="36000"/>
    <m/>
  </r>
  <r>
    <s v="NG20250098"/>
    <x v="84"/>
    <s v="Wholesale"/>
    <s v="Edo State"/>
    <s v="Benin City"/>
    <x v="4"/>
    <x v="2"/>
    <s v="Mobile Money"/>
    <x v="2"/>
    <s v="Groceries"/>
    <n v="3"/>
    <n v="18500"/>
    <n v="14500"/>
    <n v="0.1"/>
    <x v="4"/>
    <s v="Delivered"/>
    <n v="55500"/>
    <x v="88"/>
    <n v="43500"/>
    <n v="6450"/>
    <m/>
  </r>
  <r>
    <s v="NG20250099"/>
    <x v="85"/>
    <s v="Wholesale"/>
    <s v="Edo State"/>
    <s v="Benin City"/>
    <x v="4"/>
    <x v="0"/>
    <s v="Debit Card"/>
    <x v="0"/>
    <s v="Fashion"/>
    <n v="6"/>
    <n v="23100"/>
    <n v="13000"/>
    <n v="0.15"/>
    <x v="1"/>
    <s v="Returned"/>
    <n v="138600"/>
    <x v="89"/>
    <n v="78000"/>
    <n v="39810"/>
    <m/>
  </r>
  <r>
    <s v="NG20250100"/>
    <x v="86"/>
    <s v="Corporate"/>
    <s v="Anambra State"/>
    <s v="Onitsha"/>
    <x v="2"/>
    <x v="2"/>
    <s v="Cash"/>
    <x v="1"/>
    <s v="Electronics"/>
    <n v="3"/>
    <n v="427500"/>
    <n v="332500"/>
    <n v="0"/>
    <x v="6"/>
    <s v="Returned"/>
    <n v="1282500"/>
    <x v="90"/>
    <n v="997500"/>
    <n v="285000"/>
    <m/>
  </r>
  <r>
    <s v="NG20250101"/>
    <x v="87"/>
    <s v="Wholesale"/>
    <s v="Plateau State"/>
    <s v="Jos"/>
    <x v="1"/>
    <x v="3"/>
    <s v="Bank Transfer"/>
    <x v="7"/>
    <s v="Groceries"/>
    <n v="4"/>
    <n v="95000"/>
    <n v="82000"/>
    <n v="0"/>
    <x v="1"/>
    <s v="Delivered"/>
    <n v="380000"/>
    <x v="91"/>
    <n v="328000"/>
    <n v="52000"/>
    <m/>
  </r>
  <r>
    <s v="NG20250102"/>
    <x v="88"/>
    <s v="Corporate"/>
    <s v="Ogun State"/>
    <s v="Abeokuta"/>
    <x v="0"/>
    <x v="0"/>
    <s v="Debit Card"/>
    <x v="3"/>
    <s v="Electronics"/>
    <n v="6"/>
    <n v="266000"/>
    <n v="220500"/>
    <n v="0.1"/>
    <x v="3"/>
    <s v="Delivered"/>
    <n v="1596000"/>
    <x v="15"/>
    <n v="1323000"/>
    <n v="113400"/>
    <m/>
  </r>
  <r>
    <s v="NG20250103"/>
    <x v="77"/>
    <s v="Corporate"/>
    <s v="Plateau State"/>
    <s v="Jos"/>
    <x v="1"/>
    <x v="0"/>
    <s v="Cash"/>
    <x v="8"/>
    <s v="Home Appliances"/>
    <n v="5"/>
    <n v="131250"/>
    <n v="85000"/>
    <n v="0.1"/>
    <x v="1"/>
    <s v="Returned"/>
    <n v="656250"/>
    <x v="92"/>
    <n v="425000"/>
    <n v="165625"/>
    <m/>
  </r>
  <r>
    <s v="NG20250104"/>
    <x v="89"/>
    <s v="Retail"/>
    <s v="Anambra State"/>
    <s v="Onitsha"/>
    <x v="2"/>
    <x v="1"/>
    <s v="Debit Card"/>
    <x v="1"/>
    <s v="Electronics"/>
    <n v="10"/>
    <n v="450000"/>
    <n v="350000"/>
    <n v="0.1"/>
    <x v="0"/>
    <s v="Returned"/>
    <n v="4500000"/>
    <x v="93"/>
    <n v="3500000"/>
    <n v="550000"/>
    <m/>
  </r>
  <r>
    <s v="NG20250105"/>
    <x v="72"/>
    <s v="Retail"/>
    <s v="Ogun State"/>
    <s v="Abeokuta"/>
    <x v="0"/>
    <x v="2"/>
    <s v="USSD"/>
    <x v="3"/>
    <s v="Electronics"/>
    <n v="1"/>
    <n v="252000"/>
    <n v="210000"/>
    <n v="0.05"/>
    <x v="1"/>
    <s v="Delivered"/>
    <n v="252000"/>
    <x v="94"/>
    <n v="210000"/>
    <n v="29400"/>
    <m/>
  </r>
  <r>
    <s v="NG20250106"/>
    <x v="90"/>
    <s v="Wholesale"/>
    <s v="Rivers State"/>
    <s v="Port Harcourt"/>
    <x v="4"/>
    <x v="0"/>
    <s v="USSD"/>
    <x v="10"/>
    <s v="Furniture"/>
    <n v="12"/>
    <n v="183750"/>
    <n v="126000"/>
    <n v="0.1"/>
    <x v="0"/>
    <s v="Pending"/>
    <n v="2205000"/>
    <x v="95"/>
    <n v="1512000"/>
    <n v="472500"/>
    <m/>
  </r>
  <r>
    <s v="NG20250107"/>
    <x v="91"/>
    <s v="Retail"/>
    <s v="Lagos State"/>
    <s v="Lagos"/>
    <x v="0"/>
    <x v="3"/>
    <s v="Mobile Money"/>
    <x v="5"/>
    <s v="Furniture"/>
    <n v="5"/>
    <n v="90250"/>
    <n v="65100"/>
    <n v="0.05"/>
    <x v="2"/>
    <s v="Delivered"/>
    <n v="451250"/>
    <x v="96"/>
    <n v="325500"/>
    <n v="103187.5"/>
    <m/>
  </r>
  <r>
    <s v="NG20250108"/>
    <x v="60"/>
    <s v="Wholesale"/>
    <s v="Kano State"/>
    <s v="Kano"/>
    <x v="3"/>
    <x v="0"/>
    <s v="Bank Transfer"/>
    <x v="1"/>
    <s v="Electronics"/>
    <n v="2"/>
    <n v="405000"/>
    <n v="367500"/>
    <n v="0"/>
    <x v="2"/>
    <s v="Delivered"/>
    <n v="810000"/>
    <x v="97"/>
    <n v="735000"/>
    <n v="75000"/>
    <m/>
  </r>
  <r>
    <s v="NG20250109"/>
    <x v="92"/>
    <s v="Retail"/>
    <s v="Ogun State"/>
    <s v="Abeokuta"/>
    <x v="0"/>
    <x v="2"/>
    <s v="Debit Card"/>
    <x v="11"/>
    <s v="Electronics"/>
    <n v="6"/>
    <n v="152000"/>
    <n v="109250"/>
    <n v="0.1"/>
    <x v="6"/>
    <s v="Cancelled"/>
    <n v="912000"/>
    <x v="98"/>
    <n v="655500"/>
    <n v="165300"/>
    <m/>
  </r>
  <r>
    <s v="NG20250110"/>
    <x v="93"/>
    <s v="Retail"/>
    <s v="Lagos State"/>
    <s v="Lagos"/>
    <x v="0"/>
    <x v="0"/>
    <s v="Cash"/>
    <x v="2"/>
    <s v="Groceries"/>
    <n v="2"/>
    <n v="17575"/>
    <n v="14500"/>
    <n v="0.1"/>
    <x v="7"/>
    <s v="Delivered"/>
    <n v="35150"/>
    <x v="99"/>
    <n v="29000"/>
    <n v="2635"/>
    <m/>
  </r>
  <r>
    <s v="NG20250111"/>
    <x v="94"/>
    <s v="Wholesale"/>
    <s v="FCT"/>
    <s v="Abuja"/>
    <x v="1"/>
    <x v="1"/>
    <s v="Mobile Money"/>
    <x v="10"/>
    <s v="Furniture"/>
    <n v="4"/>
    <n v="157500"/>
    <n v="120000"/>
    <n v="0"/>
    <x v="3"/>
    <s v="Delivered"/>
    <n v="630000"/>
    <x v="100"/>
    <n v="480000"/>
    <n v="150000"/>
    <m/>
  </r>
  <r>
    <s v="NG20250112"/>
    <x v="95"/>
    <s v="Corporate"/>
    <s v="Oyo State"/>
    <s v="Ibadan"/>
    <x v="0"/>
    <x v="2"/>
    <s v="Mobile Money"/>
    <x v="9"/>
    <s v="Fashion"/>
    <n v="3"/>
    <n v="46200"/>
    <n v="26000"/>
    <n v="0.1"/>
    <x v="7"/>
    <s v="Delivered"/>
    <n v="138600"/>
    <x v="101"/>
    <n v="78000"/>
    <n v="46740"/>
    <m/>
  </r>
  <r>
    <s v="NG20250113"/>
    <x v="96"/>
    <s v="Corporate"/>
    <s v="Rivers State"/>
    <s v="Port Harcourt"/>
    <x v="4"/>
    <x v="0"/>
    <s v="USSD"/>
    <x v="9"/>
    <s v="Fashion"/>
    <n v="4"/>
    <n v="42000"/>
    <n v="24700"/>
    <n v="0"/>
    <x v="1"/>
    <s v="Pending"/>
    <n v="168000"/>
    <x v="102"/>
    <n v="98800"/>
    <n v="69200"/>
    <m/>
  </r>
  <r>
    <s v="NG20250114"/>
    <x v="97"/>
    <s v="Wholesale"/>
    <s v="Oyo State"/>
    <s v="Ibadan"/>
    <x v="0"/>
    <x v="3"/>
    <s v="USSD"/>
    <x v="3"/>
    <s v="Electronics"/>
    <n v="2"/>
    <n v="266000"/>
    <n v="199500"/>
    <n v="0"/>
    <x v="4"/>
    <s v="Cancelled"/>
    <n v="532000"/>
    <x v="103"/>
    <n v="399000"/>
    <n v="133000"/>
    <m/>
  </r>
  <r>
    <s v="NG20250115"/>
    <x v="98"/>
    <s v="Wholesale"/>
    <s v="Enugu State"/>
    <s v="Enugu"/>
    <x v="2"/>
    <x v="2"/>
    <s v="USSD"/>
    <x v="8"/>
    <s v="Home Appliances"/>
    <n v="4"/>
    <n v="112500"/>
    <n v="80750"/>
    <n v="0.15"/>
    <x v="1"/>
    <s v="Cancelled"/>
    <n v="450000"/>
    <x v="104"/>
    <n v="323000"/>
    <n v="59500"/>
    <m/>
  </r>
  <r>
    <s v="NG20250116"/>
    <x v="99"/>
    <s v="Corporate"/>
    <s v="Kano State"/>
    <s v="Kano"/>
    <x v="3"/>
    <x v="3"/>
    <s v="Debit Card"/>
    <x v="11"/>
    <s v="Electronics"/>
    <n v="2"/>
    <n v="160000"/>
    <n v="120750"/>
    <n v="0.05"/>
    <x v="2"/>
    <s v="Delivered"/>
    <n v="320000"/>
    <x v="105"/>
    <n v="241500"/>
    <n v="62500"/>
    <m/>
  </r>
  <r>
    <s v="NG20250117"/>
    <x v="100"/>
    <s v="Retail"/>
    <s v="Rivers State"/>
    <s v="Port Harcourt"/>
    <x v="4"/>
    <x v="3"/>
    <s v="Cash"/>
    <x v="6"/>
    <s v="Electronics"/>
    <n v="10"/>
    <n v="162000"/>
    <n v="123500"/>
    <n v="0"/>
    <x v="7"/>
    <s v="Pending"/>
    <n v="1620000"/>
    <x v="106"/>
    <n v="1235000"/>
    <n v="385000"/>
    <m/>
  </r>
  <r>
    <s v="NG20250118"/>
    <x v="101"/>
    <s v="Corporate"/>
    <s v="Enugu State"/>
    <s v="Enugu"/>
    <x v="2"/>
    <x v="0"/>
    <s v="Debit Card"/>
    <x v="2"/>
    <s v="Groceries"/>
    <n v="4"/>
    <n v="19425"/>
    <n v="13775"/>
    <n v="0.05"/>
    <x v="4"/>
    <s v="Returned"/>
    <n v="77700"/>
    <x v="107"/>
    <n v="55100"/>
    <n v="18715"/>
    <m/>
  </r>
  <r>
    <s v="NG20250119"/>
    <x v="87"/>
    <s v="Retail"/>
    <s v="Oyo State"/>
    <s v="Ibadan"/>
    <x v="0"/>
    <x v="3"/>
    <s v="Mobile Money"/>
    <x v="10"/>
    <s v="Furniture"/>
    <n v="4"/>
    <n v="166250"/>
    <n v="120000"/>
    <n v="0.15"/>
    <x v="2"/>
    <s v="Delivered"/>
    <n v="665000"/>
    <x v="108"/>
    <n v="480000"/>
    <n v="85250"/>
    <m/>
  </r>
  <r>
    <s v="NG20250120"/>
    <x v="102"/>
    <s v="Wholesale"/>
    <s v="Nasarawa State"/>
    <s v="Mararaba"/>
    <x v="1"/>
    <x v="0"/>
    <s v="Mobile Money"/>
    <x v="3"/>
    <s v="Electronics"/>
    <n v="4"/>
    <n v="308000"/>
    <n v="220500"/>
    <n v="0.1"/>
    <x v="4"/>
    <s v="Cancelled"/>
    <n v="1232000"/>
    <x v="109"/>
    <n v="882000"/>
    <n v="226800"/>
    <m/>
  </r>
  <r>
    <s v="NG20250121"/>
    <x v="103"/>
    <s v="Retail"/>
    <s v="Ogun State"/>
    <s v="Abeokuta"/>
    <x v="0"/>
    <x v="2"/>
    <s v="Mobile Money"/>
    <x v="1"/>
    <s v="Electronics"/>
    <n v="2"/>
    <n v="495000"/>
    <n v="350000"/>
    <n v="0"/>
    <x v="0"/>
    <s v="Delivered"/>
    <n v="990000"/>
    <x v="110"/>
    <n v="700000"/>
    <n v="290000"/>
    <m/>
  </r>
  <r>
    <s v="NG20250122"/>
    <x v="81"/>
    <s v="Corporate"/>
    <s v="Ogun State"/>
    <s v="Abeokuta"/>
    <x v="0"/>
    <x v="1"/>
    <s v="USSD"/>
    <x v="3"/>
    <s v="Electronics"/>
    <n v="6"/>
    <n v="252000"/>
    <n v="199500"/>
    <n v="0.15"/>
    <x v="2"/>
    <s v="Delivered"/>
    <n v="1512000"/>
    <x v="111"/>
    <n v="1197000"/>
    <n v="88200"/>
    <m/>
  </r>
  <r>
    <s v="NG20250123"/>
    <x v="90"/>
    <s v="Wholesale"/>
    <s v="Plateau State"/>
    <s v="Jos"/>
    <x v="0"/>
    <x v="0"/>
    <s v="Bank Transfer"/>
    <x v="6"/>
    <s v="Electronics"/>
    <n v="2"/>
    <n v="180000"/>
    <n v="123500"/>
    <n v="0"/>
    <x v="4"/>
    <s v="Delivered"/>
    <n v="360000"/>
    <x v="112"/>
    <n v="247000"/>
    <n v="113000"/>
    <m/>
  </r>
  <r>
    <s v="NG20250124"/>
    <x v="104"/>
    <s v="Wholesale"/>
    <s v="Rivers State"/>
    <s v="Port Harcourt"/>
    <x v="4"/>
    <x v="0"/>
    <s v="Debit Card"/>
    <x v="8"/>
    <s v="Home Appliances"/>
    <n v="3"/>
    <n v="125000"/>
    <n v="89250"/>
    <n v="0.05"/>
    <x v="0"/>
    <s v="Delivered"/>
    <n v="375000"/>
    <x v="113"/>
    <n v="267750"/>
    <n v="88500"/>
    <m/>
  </r>
  <r>
    <s v="NG20250125"/>
    <x v="105"/>
    <s v="Retail"/>
    <s v="Nasarawa State"/>
    <s v="Mararaba"/>
    <x v="1"/>
    <x v="2"/>
    <s v="USSD"/>
    <x v="3"/>
    <s v="Electronics"/>
    <n v="5"/>
    <n v="280000"/>
    <n v="220500"/>
    <n v="0.1"/>
    <x v="7"/>
    <s v="Delivered"/>
    <n v="1400000"/>
    <x v="114"/>
    <n v="1102500"/>
    <n v="157500"/>
    <m/>
  </r>
  <r>
    <s v="NG20250126"/>
    <x v="106"/>
    <s v="Retail"/>
    <s v="FCT"/>
    <s v="Abuja"/>
    <x v="1"/>
    <x v="0"/>
    <s v="USSD"/>
    <x v="1"/>
    <s v="Electronics"/>
    <n v="2"/>
    <n v="427500"/>
    <n v="350000"/>
    <n v="0"/>
    <x v="0"/>
    <s v="Delivered"/>
    <n v="855000"/>
    <x v="31"/>
    <n v="700000"/>
    <n v="155000"/>
    <m/>
  </r>
  <r>
    <s v="NG20250127"/>
    <x v="107"/>
    <s v="Corporate"/>
    <s v="Ogun State"/>
    <s v="Abeokuta"/>
    <x v="0"/>
    <x v="0"/>
    <s v="USSD"/>
    <x v="6"/>
    <s v="Electronics"/>
    <n v="3"/>
    <n v="189000"/>
    <n v="130000"/>
    <n v="0.1"/>
    <x v="7"/>
    <s v="Returned"/>
    <n v="567000"/>
    <x v="115"/>
    <n v="390000"/>
    <n v="120300"/>
    <m/>
  </r>
  <r>
    <s v="NG20250128"/>
    <x v="108"/>
    <s v="Corporate"/>
    <s v="Lagos State"/>
    <s v="Lagos"/>
    <x v="0"/>
    <x v="1"/>
    <s v="Debit Card"/>
    <x v="4"/>
    <s v="Home Appliances"/>
    <n v="3"/>
    <n v="43200"/>
    <n v="30000"/>
    <n v="0.1"/>
    <x v="3"/>
    <s v="Cancelled"/>
    <n v="129600"/>
    <x v="116"/>
    <n v="90000"/>
    <n v="26640"/>
    <m/>
  </r>
  <r>
    <s v="NG20250129"/>
    <x v="109"/>
    <s v="Corporate"/>
    <s v="Lagos State"/>
    <s v="Lagos"/>
    <x v="0"/>
    <x v="0"/>
    <s v="Cash"/>
    <x v="4"/>
    <s v="Home Appliances"/>
    <n v="12"/>
    <n v="45600"/>
    <n v="31500"/>
    <n v="0.15"/>
    <x v="0"/>
    <s v="Delivered"/>
    <n v="547200"/>
    <x v="117"/>
    <n v="378000"/>
    <n v="87120"/>
    <m/>
  </r>
  <r>
    <s v="NG20250130"/>
    <x v="110"/>
    <s v="Corporate"/>
    <s v="Kano State"/>
    <s v="Kano"/>
    <x v="3"/>
    <x v="2"/>
    <s v="Bank Transfer"/>
    <x v="2"/>
    <s v="Groceries"/>
    <n v="4"/>
    <n v="18500"/>
    <n v="14500"/>
    <n v="0.15"/>
    <x v="3"/>
    <s v="Delivered"/>
    <n v="74000"/>
    <x v="118"/>
    <n v="58000"/>
    <n v="4900"/>
    <m/>
  </r>
  <r>
    <s v="NG20250131"/>
    <x v="111"/>
    <s v="Retail"/>
    <s v="Enugu State"/>
    <s v="Enugu"/>
    <x v="2"/>
    <x v="0"/>
    <s v="Cash"/>
    <x v="7"/>
    <s v="Groceries"/>
    <n v="2"/>
    <n v="104500"/>
    <n v="82000"/>
    <n v="0"/>
    <x v="4"/>
    <s v="Delivered"/>
    <n v="209000"/>
    <x v="119"/>
    <n v="164000"/>
    <n v="45000"/>
    <m/>
  </r>
  <r>
    <s v="NG20250132"/>
    <x v="112"/>
    <s v="Corporate"/>
    <s v="Ogun State"/>
    <s v="Abeokuta"/>
    <x v="0"/>
    <x v="1"/>
    <s v="Mobile Money"/>
    <x v="11"/>
    <s v="Electronics"/>
    <n v="4"/>
    <n v="176000"/>
    <n v="109250"/>
    <n v="0"/>
    <x v="2"/>
    <s v="Pending"/>
    <n v="704000"/>
    <x v="120"/>
    <n v="437000"/>
    <n v="267000"/>
    <m/>
  </r>
  <r>
    <s v="NG20250133"/>
    <x v="113"/>
    <s v="Corporate"/>
    <s v="Plateau State"/>
    <s v="Jos"/>
    <x v="1"/>
    <x v="0"/>
    <s v="Debit Card"/>
    <x v="0"/>
    <s v="Fashion"/>
    <n v="1"/>
    <n v="19800"/>
    <n v="13650"/>
    <n v="0.05"/>
    <x v="3"/>
    <s v="Delivered"/>
    <n v="19800"/>
    <x v="121"/>
    <n v="13650"/>
    <n v="5160"/>
    <m/>
  </r>
  <r>
    <s v="NG20250134"/>
    <x v="114"/>
    <s v="Retail"/>
    <s v="Kaduna State"/>
    <s v="Kaduna"/>
    <x v="3"/>
    <x v="1"/>
    <s v="USSD"/>
    <x v="5"/>
    <s v="Furniture"/>
    <n v="3"/>
    <n v="85500"/>
    <n v="62000"/>
    <n v="0"/>
    <x v="7"/>
    <s v="Returned"/>
    <n v="256500"/>
    <x v="122"/>
    <n v="186000"/>
    <n v="70500"/>
    <m/>
  </r>
  <r>
    <s v="NG20250135"/>
    <x v="115"/>
    <s v="Corporate"/>
    <s v="Anambra State"/>
    <s v="Onitsha"/>
    <x v="2"/>
    <x v="0"/>
    <s v="Debit Card"/>
    <x v="8"/>
    <s v="Home Appliances"/>
    <n v="5"/>
    <n v="125000"/>
    <n v="89250"/>
    <n v="0.1"/>
    <x v="3"/>
    <s v="Delivered"/>
    <n v="625000"/>
    <x v="123"/>
    <n v="446250"/>
    <n v="116250"/>
    <m/>
  </r>
  <r>
    <s v="NG20250136"/>
    <x v="116"/>
    <s v="Wholesale"/>
    <s v="Rivers State"/>
    <s v="Port Harcourt"/>
    <x v="4"/>
    <x v="2"/>
    <s v="Debit Card"/>
    <x v="7"/>
    <s v="Groceries"/>
    <n v="1"/>
    <n v="90250"/>
    <n v="86100"/>
    <n v="0.05"/>
    <x v="2"/>
    <s v="Cancelled"/>
    <n v="90250"/>
    <x v="124"/>
    <n v="86100"/>
    <n v="-362.5"/>
    <m/>
  </r>
  <r>
    <s v="NG20250137"/>
    <x v="117"/>
    <s v="Retail"/>
    <s v="Kano State"/>
    <s v="Kano"/>
    <x v="3"/>
    <x v="3"/>
    <s v="Bank Transfer"/>
    <x v="5"/>
    <s v="Furniture"/>
    <n v="3"/>
    <n v="95000"/>
    <n v="58900"/>
    <n v="0.15"/>
    <x v="0"/>
    <s v="Delivered"/>
    <n v="285000"/>
    <x v="125"/>
    <n v="176700"/>
    <n v="65550"/>
    <m/>
  </r>
  <r>
    <s v="NG20250138"/>
    <x v="118"/>
    <s v="Wholesale"/>
    <s v="Nasarawa State"/>
    <s v="Mararaba"/>
    <x v="1"/>
    <x v="2"/>
    <s v="Debit Card"/>
    <x v="5"/>
    <s v="Furniture"/>
    <n v="5"/>
    <n v="99750"/>
    <n v="62000"/>
    <n v="0"/>
    <x v="4"/>
    <s v="Cancelled"/>
    <n v="498750"/>
    <x v="39"/>
    <n v="310000"/>
    <n v="188750"/>
    <m/>
  </r>
  <r>
    <s v="NG20250139"/>
    <x v="107"/>
    <s v="Wholesale"/>
    <s v="Edo State"/>
    <s v="Benin City"/>
    <x v="4"/>
    <x v="3"/>
    <s v="Cash"/>
    <x v="0"/>
    <s v="Fashion"/>
    <n v="5"/>
    <n v="20900"/>
    <n v="12350"/>
    <n v="0"/>
    <x v="3"/>
    <s v="Pending"/>
    <n v="104500"/>
    <x v="86"/>
    <n v="61750"/>
    <n v="42750"/>
    <m/>
  </r>
  <r>
    <s v="NG20250140"/>
    <x v="119"/>
    <s v="Retail"/>
    <s v="Rivers State"/>
    <s v="Port Harcourt"/>
    <x v="4"/>
    <x v="3"/>
    <s v="USSD"/>
    <x v="0"/>
    <s v="Fashion"/>
    <n v="3"/>
    <n v="22000"/>
    <n v="12350"/>
    <n v="0"/>
    <x v="5"/>
    <s v="Delivered"/>
    <n v="66000"/>
    <x v="126"/>
    <n v="37050"/>
    <n v="28950"/>
    <m/>
  </r>
  <r>
    <s v="NG20250141"/>
    <x v="120"/>
    <s v="Wholesale"/>
    <s v="Ogun State"/>
    <s v="Abeokuta"/>
    <x v="0"/>
    <x v="0"/>
    <s v="Debit Card"/>
    <x v="11"/>
    <s v="Electronics"/>
    <n v="1"/>
    <n v="160000"/>
    <n v="109250"/>
    <n v="0.1"/>
    <x v="6"/>
    <s v="Returned"/>
    <n v="160000"/>
    <x v="127"/>
    <n v="109250"/>
    <n v="34750"/>
    <m/>
  </r>
  <r>
    <s v="NG20250142"/>
    <x v="121"/>
    <s v="Corporate"/>
    <s v="Kano State"/>
    <s v="Kano"/>
    <x v="3"/>
    <x v="3"/>
    <s v="Cash"/>
    <x v="2"/>
    <s v="Groceries"/>
    <n v="1"/>
    <n v="17575"/>
    <n v="14500"/>
    <n v="0.15"/>
    <x v="1"/>
    <s v="Delivered"/>
    <n v="17575"/>
    <x v="128"/>
    <n v="14500"/>
    <n v="438.75"/>
    <m/>
  </r>
  <r>
    <s v="NG20250143"/>
    <x v="122"/>
    <s v="Corporate"/>
    <s v="Nasarawa State"/>
    <s v="Mararaba"/>
    <x v="1"/>
    <x v="1"/>
    <s v="Cash"/>
    <x v="2"/>
    <s v="Groceries"/>
    <n v="6"/>
    <n v="20350"/>
    <n v="15225"/>
    <n v="0"/>
    <x v="2"/>
    <s v="Delivered"/>
    <n v="122100"/>
    <x v="129"/>
    <n v="91350"/>
    <n v="30750"/>
    <m/>
  </r>
  <r>
    <s v="NG20250144"/>
    <x v="123"/>
    <s v="Corporate"/>
    <s v="Anambra State"/>
    <s v="Onitsha"/>
    <x v="2"/>
    <x v="2"/>
    <s v="Cash"/>
    <x v="0"/>
    <s v="Fashion"/>
    <n v="15"/>
    <n v="22000"/>
    <n v="13000"/>
    <n v="0.05"/>
    <x v="6"/>
    <s v="Cancelled"/>
    <n v="330000"/>
    <x v="130"/>
    <n v="195000"/>
    <n v="118500"/>
    <m/>
  </r>
  <r>
    <s v="NG20250145"/>
    <x v="124"/>
    <s v="Wholesale"/>
    <s v="Lagos State"/>
    <s v="Lagos"/>
    <x v="0"/>
    <x v="0"/>
    <s v="Debit Card"/>
    <x v="5"/>
    <s v="Furniture"/>
    <n v="5"/>
    <n v="104500"/>
    <n v="62000"/>
    <n v="0.1"/>
    <x v="3"/>
    <s v="Returned"/>
    <n v="522500"/>
    <x v="131"/>
    <n v="310000"/>
    <n v="160250"/>
    <m/>
  </r>
  <r>
    <s v="NG20250146"/>
    <x v="125"/>
    <s v="Corporate"/>
    <s v="Nasarawa State"/>
    <s v="Mararaba"/>
    <x v="1"/>
    <x v="3"/>
    <s v="Bank Transfer"/>
    <x v="6"/>
    <s v="Electronics"/>
    <n v="3"/>
    <n v="180000"/>
    <n v="130000"/>
    <n v="0.05"/>
    <x v="0"/>
    <s v="Delivered"/>
    <n v="540000"/>
    <x v="35"/>
    <n v="390000"/>
    <n v="123000"/>
    <m/>
  </r>
  <r>
    <s v="NG20250147"/>
    <x v="12"/>
    <s v="Retail"/>
    <s v="Kano State"/>
    <s v="Kano"/>
    <x v="3"/>
    <x v="3"/>
    <s v="Bank Transfer"/>
    <x v="1"/>
    <s v="Electronics"/>
    <n v="3"/>
    <n v="427500"/>
    <n v="367500"/>
    <n v="0"/>
    <x v="2"/>
    <s v="Delivered"/>
    <n v="1282500"/>
    <x v="90"/>
    <n v="1102500"/>
    <n v="180000"/>
    <m/>
  </r>
  <r>
    <s v="NG20250148"/>
    <x v="0"/>
    <s v="Corporate"/>
    <s v="Ogun State"/>
    <s v="Abeokuta"/>
    <x v="0"/>
    <x v="1"/>
    <s v="Mobile Money"/>
    <x v="6"/>
    <s v="Electronics"/>
    <n v="1"/>
    <n v="198000"/>
    <n v="136500"/>
    <n v="0.15"/>
    <x v="7"/>
    <s v="Returned"/>
    <n v="198000"/>
    <x v="132"/>
    <n v="136500"/>
    <n v="31800"/>
    <m/>
  </r>
  <r>
    <s v="NG20250149"/>
    <x v="126"/>
    <s v="Corporate"/>
    <s v="Lagos State"/>
    <s v="Lagos"/>
    <x v="0"/>
    <x v="0"/>
    <s v="Debit Card"/>
    <x v="3"/>
    <s v="Electronics"/>
    <n v="2"/>
    <n v="308000"/>
    <n v="210000"/>
    <n v="0.1"/>
    <x v="5"/>
    <s v="Cancelled"/>
    <n v="616000"/>
    <x v="133"/>
    <n v="420000"/>
    <n v="134400"/>
    <m/>
  </r>
  <r>
    <s v="NG20250150"/>
    <x v="127"/>
    <s v="Wholesale"/>
    <s v="Oyo State"/>
    <s v="Ibadan"/>
    <x v="0"/>
    <x v="0"/>
    <s v="Mobile Money"/>
    <x v="5"/>
    <s v="Furniture"/>
    <n v="1"/>
    <n v="95000"/>
    <n v="65100"/>
    <n v="0"/>
    <x v="5"/>
    <s v="Pending"/>
    <n v="95000"/>
    <x v="134"/>
    <n v="65100"/>
    <n v="29900"/>
    <m/>
  </r>
  <r>
    <s v="NG20250151"/>
    <x v="128"/>
    <s v="Retail"/>
    <s v="Ogun State"/>
    <s v="Abeokuta"/>
    <x v="0"/>
    <x v="0"/>
    <s v="Mobile Money"/>
    <x v="9"/>
    <s v="Fashion"/>
    <n v="2"/>
    <n v="37800"/>
    <n v="26000"/>
    <n v="0"/>
    <x v="2"/>
    <s v="Pending"/>
    <n v="75600"/>
    <x v="135"/>
    <n v="52000"/>
    <n v="23600"/>
    <m/>
  </r>
  <r>
    <s v="NG20250152"/>
    <x v="35"/>
    <s v="Wholesale"/>
    <s v="Enugu State"/>
    <s v="Enugu"/>
    <x v="2"/>
    <x v="1"/>
    <s v="Debit Card"/>
    <x v="3"/>
    <s v="Electronics"/>
    <n v="4"/>
    <n v="308000"/>
    <n v="199500"/>
    <n v="0.05"/>
    <x v="4"/>
    <s v="Delivered"/>
    <n v="1232000"/>
    <x v="136"/>
    <n v="798000"/>
    <n v="372400"/>
    <m/>
  </r>
  <r>
    <s v="NG20250153"/>
    <x v="129"/>
    <s v="Retail"/>
    <s v="Lagos State"/>
    <s v="Lagos"/>
    <x v="0"/>
    <x v="3"/>
    <s v="Cash"/>
    <x v="9"/>
    <s v="Fashion"/>
    <n v="2"/>
    <n v="37800"/>
    <n v="26000"/>
    <n v="0"/>
    <x v="7"/>
    <s v="Returned"/>
    <n v="75600"/>
    <x v="135"/>
    <n v="52000"/>
    <n v="23600"/>
    <m/>
  </r>
  <r>
    <s v="NG20250154"/>
    <x v="130"/>
    <s v="Corporate"/>
    <s v="Enugu State"/>
    <s v="Enugu"/>
    <x v="2"/>
    <x v="2"/>
    <s v="Cash"/>
    <x v="10"/>
    <s v="Furniture"/>
    <n v="2"/>
    <n v="183750"/>
    <n v="120000"/>
    <n v="0.15"/>
    <x v="3"/>
    <s v="Returned"/>
    <n v="367500"/>
    <x v="137"/>
    <n v="240000"/>
    <n v="72375"/>
    <m/>
  </r>
  <r>
    <s v="NG20250155"/>
    <x v="131"/>
    <s v="Corporate"/>
    <s v="Kaduna State"/>
    <s v="Kaduna"/>
    <x v="3"/>
    <x v="1"/>
    <s v="Mobile Money"/>
    <x v="9"/>
    <s v="Fashion"/>
    <n v="1"/>
    <n v="39900"/>
    <n v="24700"/>
    <n v="0"/>
    <x v="1"/>
    <s v="Delivered"/>
    <n v="39900"/>
    <x v="138"/>
    <n v="24700"/>
    <n v="15200"/>
    <m/>
  </r>
  <r>
    <s v="NG20250156"/>
    <x v="132"/>
    <s v="Corporate"/>
    <s v="Lagos State"/>
    <s v="Lagos"/>
    <x v="0"/>
    <x v="3"/>
    <s v="Bank Transfer"/>
    <x v="5"/>
    <s v="Furniture"/>
    <n v="6"/>
    <n v="90250"/>
    <n v="62000"/>
    <n v="0"/>
    <x v="2"/>
    <s v="Returned"/>
    <n v="541500"/>
    <x v="139"/>
    <n v="372000"/>
    <n v="169500"/>
    <m/>
  </r>
  <r>
    <s v="NG20250157"/>
    <x v="133"/>
    <s v="Corporate"/>
    <s v="Kano State"/>
    <s v="Kano"/>
    <x v="3"/>
    <x v="3"/>
    <s v="Mobile Money"/>
    <x v="4"/>
    <s v="Home Appliances"/>
    <n v="6"/>
    <n v="48000"/>
    <n v="30000"/>
    <n v="0"/>
    <x v="4"/>
    <s v="Returned"/>
    <n v="288000"/>
    <x v="140"/>
    <n v="180000"/>
    <n v="108000"/>
    <m/>
  </r>
  <r>
    <s v="NG20250158"/>
    <x v="134"/>
    <s v="Retail"/>
    <s v="Edo State"/>
    <s v="Benin City"/>
    <x v="4"/>
    <x v="0"/>
    <s v="Debit Card"/>
    <x v="3"/>
    <s v="Electronics"/>
    <n v="3"/>
    <n v="280000"/>
    <n v="210000"/>
    <n v="0.1"/>
    <x v="4"/>
    <s v="Delivered"/>
    <n v="840000"/>
    <x v="3"/>
    <n v="630000"/>
    <n v="126000"/>
    <m/>
  </r>
  <r>
    <s v="NG20250159"/>
    <x v="135"/>
    <s v="Corporate"/>
    <s v="Kaduna State"/>
    <s v="Kaduna"/>
    <x v="3"/>
    <x v="0"/>
    <s v="Debit Card"/>
    <x v="5"/>
    <s v="Furniture"/>
    <n v="4"/>
    <n v="95000"/>
    <n v="62000"/>
    <n v="0.15"/>
    <x v="0"/>
    <s v="Delivered"/>
    <n v="380000"/>
    <x v="141"/>
    <n v="248000"/>
    <n v="75000"/>
    <m/>
  </r>
  <r>
    <s v="NG20250160"/>
    <x v="45"/>
    <s v="Corporate"/>
    <s v="Rivers State"/>
    <s v="Port Harcourt"/>
    <x v="4"/>
    <x v="2"/>
    <s v="Bank Transfer"/>
    <x v="5"/>
    <s v="Furniture"/>
    <n v="15"/>
    <n v="85500"/>
    <n v="58900"/>
    <n v="0.15"/>
    <x v="6"/>
    <s v="Pending"/>
    <n v="1282500"/>
    <x v="142"/>
    <n v="883500"/>
    <n v="206625"/>
    <m/>
  </r>
  <r>
    <s v="NG20250161"/>
    <x v="91"/>
    <s v="Corporate"/>
    <s v="Rivers State"/>
    <s v="Port Harcourt"/>
    <x v="4"/>
    <x v="3"/>
    <s v="USSD"/>
    <x v="2"/>
    <s v="Groceries"/>
    <n v="6"/>
    <n v="16650"/>
    <n v="14500"/>
    <n v="0"/>
    <x v="7"/>
    <s v="Returned"/>
    <n v="99900"/>
    <x v="143"/>
    <n v="87000"/>
    <n v="12900"/>
    <m/>
  </r>
  <r>
    <s v="NG20250162"/>
    <x v="114"/>
    <s v="Retail"/>
    <s v="Ogun State"/>
    <s v="Abeokuta"/>
    <x v="0"/>
    <x v="3"/>
    <s v="USSD"/>
    <x v="2"/>
    <s v="Groceries"/>
    <n v="5"/>
    <n v="18500"/>
    <n v="14500"/>
    <n v="0.05"/>
    <x v="2"/>
    <s v="Cancelled"/>
    <n v="92500"/>
    <x v="144"/>
    <n v="72500"/>
    <n v="15375"/>
    <m/>
  </r>
  <r>
    <s v="NG20250163"/>
    <x v="136"/>
    <s v="Wholesale"/>
    <s v="Nasarawa State"/>
    <s v="Mararaba"/>
    <x v="1"/>
    <x v="1"/>
    <s v="Mobile Money"/>
    <x v="0"/>
    <s v="Fashion"/>
    <n v="2"/>
    <n v="19800"/>
    <n v="12350"/>
    <n v="0.15"/>
    <x v="3"/>
    <s v="Pending"/>
    <n v="39600"/>
    <x v="145"/>
    <n v="24700"/>
    <n v="8960"/>
    <m/>
  </r>
  <r>
    <s v="NG20250164"/>
    <x v="137"/>
    <s v="Retail"/>
    <s v="Nasarawa State"/>
    <s v="Mararaba"/>
    <x v="1"/>
    <x v="2"/>
    <s v="Bank Transfer"/>
    <x v="5"/>
    <s v="Furniture"/>
    <n v="5"/>
    <n v="90250"/>
    <n v="62000"/>
    <n v="0.15"/>
    <x v="1"/>
    <s v="Delivered"/>
    <n v="451250"/>
    <x v="146"/>
    <n v="310000"/>
    <n v="73562.5"/>
    <m/>
  </r>
  <r>
    <s v="NG20250165"/>
    <x v="138"/>
    <s v="Retail"/>
    <s v="Edo State"/>
    <s v="Benin City"/>
    <x v="4"/>
    <x v="3"/>
    <s v="Debit Card"/>
    <x v="6"/>
    <s v="Electronics"/>
    <n v="3"/>
    <n v="162000"/>
    <n v="130000"/>
    <n v="0.15"/>
    <x v="6"/>
    <s v="Returned"/>
    <n v="486000"/>
    <x v="147"/>
    <n v="390000"/>
    <n v="23100"/>
    <m/>
  </r>
  <r>
    <s v="NG20250166"/>
    <x v="139"/>
    <s v="Retail"/>
    <s v="Edo State"/>
    <s v="Benin City"/>
    <x v="4"/>
    <x v="2"/>
    <s v="Cash"/>
    <x v="9"/>
    <s v="Fashion"/>
    <n v="10"/>
    <n v="44100"/>
    <n v="26000"/>
    <n v="0"/>
    <x v="5"/>
    <s v="Delivered"/>
    <n v="441000"/>
    <x v="148"/>
    <n v="260000"/>
    <n v="181000"/>
    <m/>
  </r>
  <r>
    <s v="NG20250167"/>
    <x v="140"/>
    <s v="Wholesale"/>
    <s v="Lagos State"/>
    <s v="Lagos"/>
    <x v="0"/>
    <x v="0"/>
    <s v="Bank Transfer"/>
    <x v="8"/>
    <s v="Home Appliances"/>
    <n v="3"/>
    <n v="125000"/>
    <n v="85000"/>
    <n v="0.05"/>
    <x v="4"/>
    <s v="Delivered"/>
    <n v="375000"/>
    <x v="113"/>
    <n v="255000"/>
    <n v="101250"/>
    <m/>
  </r>
  <r>
    <s v="NG20250168"/>
    <x v="141"/>
    <s v="Retail"/>
    <s v="Edo State"/>
    <s v="Benin City"/>
    <x v="4"/>
    <x v="3"/>
    <s v="Bank Transfer"/>
    <x v="4"/>
    <s v="Home Appliances"/>
    <n v="5"/>
    <n v="48000"/>
    <n v="31500"/>
    <n v="0.05"/>
    <x v="1"/>
    <s v="Delivered"/>
    <n v="240000"/>
    <x v="149"/>
    <n v="157500"/>
    <n v="70500"/>
    <m/>
  </r>
  <r>
    <s v="NG20250169"/>
    <x v="142"/>
    <s v="Retail"/>
    <s v="Rivers State"/>
    <s v="Port Harcourt"/>
    <x v="4"/>
    <x v="0"/>
    <s v="Mobile Money"/>
    <x v="8"/>
    <s v="Home Appliances"/>
    <n v="3"/>
    <n v="118750"/>
    <n v="85000"/>
    <n v="0"/>
    <x v="6"/>
    <s v="Cancelled"/>
    <n v="356250"/>
    <x v="113"/>
    <n v="255000"/>
    <n v="101250"/>
    <m/>
  </r>
  <r>
    <s v="NG20250170"/>
    <x v="143"/>
    <s v="Retail"/>
    <s v="Ogun State"/>
    <s v="Abeokuta"/>
    <x v="0"/>
    <x v="3"/>
    <s v="Cash"/>
    <x v="5"/>
    <s v="Furniture"/>
    <n v="1"/>
    <n v="99750"/>
    <n v="62000"/>
    <n v="0"/>
    <x v="4"/>
    <s v="Delivered"/>
    <n v="99750"/>
    <x v="150"/>
    <n v="62000"/>
    <n v="37750"/>
    <m/>
  </r>
  <r>
    <s v="NG20250171"/>
    <x v="144"/>
    <s v="Wholesale"/>
    <s v="Rivers State"/>
    <s v="Port Harcourt"/>
    <x v="4"/>
    <x v="2"/>
    <s v="Cash"/>
    <x v="6"/>
    <s v="Electronics"/>
    <n v="2"/>
    <n v="180000"/>
    <n v="123500"/>
    <n v="0.1"/>
    <x v="2"/>
    <s v="Delivered"/>
    <n v="360000"/>
    <x v="151"/>
    <n v="247000"/>
    <n v="77000"/>
    <m/>
  </r>
  <r>
    <s v="NG20250172"/>
    <x v="144"/>
    <s v="Corporate"/>
    <s v="Lagos State"/>
    <s v="Lagos"/>
    <x v="0"/>
    <x v="2"/>
    <s v="Mobile Money"/>
    <x v="2"/>
    <s v="Groceries"/>
    <n v="8"/>
    <n v="16650"/>
    <n v="13775"/>
    <n v="0"/>
    <x v="0"/>
    <s v="Cancelled"/>
    <n v="133200"/>
    <x v="152"/>
    <n v="110200"/>
    <n v="23000"/>
    <m/>
  </r>
  <r>
    <s v="NG20250173"/>
    <x v="83"/>
    <s v="Retail"/>
    <s v="Rivers State"/>
    <s v="Port Harcourt"/>
    <x v="4"/>
    <x v="1"/>
    <s v="Debit Card"/>
    <x v="2"/>
    <s v="Groceries"/>
    <n v="1"/>
    <n v="19425"/>
    <n v="14500"/>
    <n v="0.15"/>
    <x v="1"/>
    <s v="Pending"/>
    <n v="19425"/>
    <x v="153"/>
    <n v="14500"/>
    <n v="2011.25"/>
    <m/>
  </r>
  <r>
    <s v="NG20250174"/>
    <x v="130"/>
    <s v="Corporate"/>
    <s v="Edo State"/>
    <s v="Benin City"/>
    <x v="4"/>
    <x v="2"/>
    <s v="Debit Card"/>
    <x v="3"/>
    <s v="Electronics"/>
    <n v="1"/>
    <n v="280000"/>
    <n v="220500"/>
    <n v="0.05"/>
    <x v="2"/>
    <s v="Delivered"/>
    <n v="280000"/>
    <x v="44"/>
    <n v="220500"/>
    <n v="45500"/>
    <m/>
  </r>
  <r>
    <s v="NG20250175"/>
    <x v="145"/>
    <s v="Corporate"/>
    <s v="Plateau State"/>
    <s v="Jos"/>
    <x v="1"/>
    <x v="2"/>
    <s v="USSD"/>
    <x v="9"/>
    <s v="Fashion"/>
    <n v="15"/>
    <n v="39900"/>
    <n v="26000"/>
    <n v="0.1"/>
    <x v="3"/>
    <s v="Delivered"/>
    <n v="598500"/>
    <x v="154"/>
    <n v="390000"/>
    <n v="148650"/>
    <m/>
  </r>
  <r>
    <s v="NG20250176"/>
    <x v="146"/>
    <s v="Corporate"/>
    <s v="Kaduna State"/>
    <s v="Kaduna"/>
    <x v="3"/>
    <x v="2"/>
    <s v="Cash"/>
    <x v="5"/>
    <s v="Furniture"/>
    <n v="2"/>
    <n v="85500"/>
    <n v="58900"/>
    <n v="0"/>
    <x v="2"/>
    <s v="Cancelled"/>
    <n v="171000"/>
    <x v="155"/>
    <n v="117800"/>
    <n v="53200"/>
    <m/>
  </r>
  <r>
    <s v="NG20250177"/>
    <x v="147"/>
    <s v="Corporate"/>
    <s v="Edo State"/>
    <s v="Benin City"/>
    <x v="4"/>
    <x v="3"/>
    <m/>
    <x v="2"/>
    <s v="Groceries"/>
    <n v="2"/>
    <n v="20350"/>
    <n v="14500"/>
    <n v="0.05"/>
    <x v="7"/>
    <s v="Pending"/>
    <n v="40700"/>
    <x v="156"/>
    <n v="29000"/>
    <n v="9665"/>
    <m/>
  </r>
  <r>
    <s v="NG20250178"/>
    <x v="84"/>
    <s v="Retail"/>
    <s v="Kano State"/>
    <s v="Kano"/>
    <x v="3"/>
    <x v="3"/>
    <s v="USSD"/>
    <x v="3"/>
    <s v="Electronics"/>
    <n v="3"/>
    <n v="266000"/>
    <n v="210000"/>
    <n v="0.1"/>
    <x v="1"/>
    <s v="Delivered"/>
    <n v="798000"/>
    <x v="28"/>
    <n v="630000"/>
    <n v="88200"/>
    <m/>
  </r>
  <r>
    <s v="NG20250179"/>
    <x v="3"/>
    <s v="Corporate"/>
    <s v="Enugu State"/>
    <s v="Enugu"/>
    <x v="2"/>
    <x v="1"/>
    <s v="Debit Card"/>
    <x v="5"/>
    <s v="Furniture"/>
    <n v="1"/>
    <n v="85500"/>
    <n v="65100"/>
    <n v="0"/>
    <x v="7"/>
    <s v="Returned"/>
    <n v="85500"/>
    <x v="157"/>
    <n v="65100"/>
    <n v="20400"/>
    <m/>
  </r>
  <r>
    <s v="NG20250180"/>
    <x v="148"/>
    <s v="Corporate"/>
    <s v="Lagos State"/>
    <s v="Lagos"/>
    <x v="0"/>
    <x v="1"/>
    <s v="Mobile Money"/>
    <x v="4"/>
    <s v="Home Appliances"/>
    <n v="4"/>
    <n v="45600"/>
    <n v="30000"/>
    <n v="0.1"/>
    <x v="4"/>
    <s v="Delivered"/>
    <n v="182400"/>
    <x v="158"/>
    <n v="120000"/>
    <n v="44160"/>
    <m/>
  </r>
  <r>
    <s v="NG20250181"/>
    <x v="12"/>
    <s v="Wholesale"/>
    <s v="Rivers State"/>
    <s v="Port Harcourt"/>
    <x v="4"/>
    <x v="3"/>
    <s v="Cash"/>
    <x v="2"/>
    <s v="Groceries"/>
    <n v="4"/>
    <n v="17575"/>
    <n v="13775"/>
    <n v="0.05"/>
    <x v="5"/>
    <s v="Delivered"/>
    <n v="70300"/>
    <x v="159"/>
    <n v="55100"/>
    <n v="11685"/>
    <m/>
  </r>
  <r>
    <s v="NG20250182"/>
    <x v="149"/>
    <s v="Corporate"/>
    <s v="Enugu State"/>
    <s v="Enugu"/>
    <x v="2"/>
    <x v="1"/>
    <s v="Mobile Money"/>
    <x v="2"/>
    <s v="Groceries"/>
    <n v="3"/>
    <n v="16650"/>
    <n v="13775"/>
    <n v="0"/>
    <x v="1"/>
    <s v="Returned"/>
    <n v="49950"/>
    <x v="88"/>
    <n v="41325"/>
    <n v="8625"/>
    <m/>
  </r>
  <r>
    <s v="NG20250183"/>
    <x v="46"/>
    <s v="Corporate"/>
    <s v="Anambra State"/>
    <s v="Onitsha"/>
    <x v="2"/>
    <x v="3"/>
    <s v="Mobile Money"/>
    <x v="6"/>
    <s v="Electronics"/>
    <n v="10"/>
    <n v="171000"/>
    <n v="130000"/>
    <n v="0.1"/>
    <x v="2"/>
    <s v="Delivered"/>
    <n v="1710000"/>
    <x v="160"/>
    <n v="1300000"/>
    <n v="239000"/>
    <m/>
  </r>
  <r>
    <s v="NG20250184"/>
    <x v="150"/>
    <s v="Corporate"/>
    <s v="Enugu State"/>
    <s v="Enugu"/>
    <x v="2"/>
    <x v="0"/>
    <s v="USSD"/>
    <x v="7"/>
    <s v="Groceries"/>
    <n v="4"/>
    <n v="99750"/>
    <n v="82000"/>
    <n v="0.05"/>
    <x v="4"/>
    <s v="Delivered"/>
    <n v="399000"/>
    <x v="161"/>
    <n v="328000"/>
    <n v="51050"/>
    <m/>
  </r>
  <r>
    <s v="NG20250185"/>
    <x v="7"/>
    <s v="Wholesale"/>
    <s v="Edo State"/>
    <s v="Benin City"/>
    <x v="4"/>
    <x v="2"/>
    <s v="Bank Transfer"/>
    <x v="9"/>
    <s v="Fashion"/>
    <n v="4"/>
    <n v="42000"/>
    <n v="27300"/>
    <n v="0"/>
    <x v="1"/>
    <s v="Cancelled"/>
    <n v="168000"/>
    <x v="102"/>
    <n v="109200"/>
    <n v="58800"/>
    <m/>
  </r>
  <r>
    <s v="NG20250186"/>
    <x v="151"/>
    <s v="Retail"/>
    <s v="Enugu State"/>
    <s v="Enugu"/>
    <x v="2"/>
    <x v="0"/>
    <s v="Cash"/>
    <x v="6"/>
    <s v="Electronics"/>
    <n v="4"/>
    <n v="180000"/>
    <n v="136500"/>
    <n v="0"/>
    <x v="7"/>
    <s v="Delivered"/>
    <n v="720000"/>
    <x v="41"/>
    <n v="546000"/>
    <n v="174000"/>
    <m/>
  </r>
  <r>
    <s v="NG20250187"/>
    <x v="69"/>
    <s v="Corporate"/>
    <s v="Plateau State"/>
    <s v="Jos"/>
    <x v="1"/>
    <x v="0"/>
    <s v="Cash"/>
    <x v="8"/>
    <s v="Home Appliances"/>
    <n v="3"/>
    <n v="125000"/>
    <n v="85000"/>
    <n v="0.05"/>
    <x v="5"/>
    <s v="Cancelled"/>
    <n v="375000"/>
    <x v="113"/>
    <n v="255000"/>
    <n v="101250"/>
    <m/>
  </r>
  <r>
    <s v="NG20250188"/>
    <x v="152"/>
    <s v="Wholesale"/>
    <s v="Plateau State"/>
    <s v="Jos"/>
    <x v="1"/>
    <x v="3"/>
    <s v="Mobile Money"/>
    <x v="7"/>
    <s v="Groceries"/>
    <n v="15"/>
    <n v="95000"/>
    <n v="86100"/>
    <n v="0"/>
    <x v="2"/>
    <s v="Pending"/>
    <n v="1425000"/>
    <x v="162"/>
    <n v="1291500"/>
    <n v="133500"/>
    <m/>
  </r>
  <r>
    <s v="NG20250189"/>
    <x v="153"/>
    <s v="Retail"/>
    <s v="Edo State"/>
    <s v="Benin City"/>
    <x v="4"/>
    <x v="3"/>
    <s v="Mobile Money"/>
    <x v="0"/>
    <s v="Fashion"/>
    <n v="5"/>
    <n v="24200"/>
    <n v="13000"/>
    <n v="0.1"/>
    <x v="4"/>
    <s v="Delivered"/>
    <n v="121000"/>
    <x v="163"/>
    <n v="65000"/>
    <n v="43900"/>
    <m/>
  </r>
  <r>
    <s v="NG20250190"/>
    <x v="28"/>
    <s v="Corporate"/>
    <s v="Nasarawa State"/>
    <s v="Mararaba"/>
    <x v="1"/>
    <x v="1"/>
    <s v="Debit Card"/>
    <x v="11"/>
    <s v="Electronics"/>
    <n v="6"/>
    <n v="168000"/>
    <n v="115000"/>
    <n v="0.15"/>
    <x v="4"/>
    <s v="Pending"/>
    <n v="1008000"/>
    <x v="164"/>
    <n v="690000"/>
    <n v="166800"/>
    <m/>
  </r>
  <r>
    <s v="NG20250191"/>
    <x v="154"/>
    <s v="Corporate"/>
    <s v="Oyo State"/>
    <s v="Ibadan"/>
    <x v="0"/>
    <x v="0"/>
    <s v="Debit Card"/>
    <x v="5"/>
    <s v="Furniture"/>
    <n v="4"/>
    <n v="95000"/>
    <n v="65100"/>
    <n v="0.05"/>
    <x v="3"/>
    <s v="Delivered"/>
    <n v="380000"/>
    <x v="165"/>
    <n v="260400"/>
    <n v="100600"/>
    <m/>
  </r>
  <r>
    <s v="NG20250192"/>
    <x v="155"/>
    <s v="Corporate"/>
    <s v="Kaduna State"/>
    <s v="Kaduna"/>
    <x v="3"/>
    <x v="3"/>
    <s v="Cash"/>
    <x v="10"/>
    <s v="Furniture"/>
    <n v="5"/>
    <n v="183750"/>
    <n v="126000"/>
    <n v="0"/>
    <x v="3"/>
    <s v="Cancelled"/>
    <n v="918750"/>
    <x v="166"/>
    <n v="630000"/>
    <n v="288750"/>
    <m/>
  </r>
  <r>
    <s v="NG20250193"/>
    <x v="81"/>
    <s v="Wholesale"/>
    <s v="Edo State"/>
    <s v="Benin City"/>
    <x v="4"/>
    <x v="2"/>
    <s v="Bank Transfer"/>
    <x v="2"/>
    <s v="Groceries"/>
    <n v="4"/>
    <n v="17575"/>
    <n v="13775"/>
    <n v="0.15"/>
    <x v="3"/>
    <s v="Delivered"/>
    <n v="70300"/>
    <x v="167"/>
    <n v="55100"/>
    <n v="4655"/>
    <m/>
  </r>
  <r>
    <s v="NG20250194"/>
    <x v="156"/>
    <s v="Corporate"/>
    <s v="Plateau State"/>
    <s v="Jos"/>
    <x v="1"/>
    <x v="1"/>
    <s v="USSD"/>
    <x v="4"/>
    <s v="Home Appliances"/>
    <n v="5"/>
    <n v="43200"/>
    <n v="30000"/>
    <n v="0"/>
    <x v="5"/>
    <s v="Delivered"/>
    <n v="216000"/>
    <x v="168"/>
    <n v="150000"/>
    <n v="66000"/>
    <m/>
  </r>
  <r>
    <s v="NG20250195"/>
    <x v="157"/>
    <s v="Wholesale"/>
    <s v="Plateau State"/>
    <s v="Jos"/>
    <x v="1"/>
    <x v="0"/>
    <s v="Cash"/>
    <x v="5"/>
    <s v="Furniture"/>
    <n v="2"/>
    <n v="85500"/>
    <n v="58900"/>
    <n v="0.15"/>
    <x v="0"/>
    <s v="Delivered"/>
    <n v="171000"/>
    <x v="169"/>
    <n v="117800"/>
    <n v="27550"/>
    <m/>
  </r>
  <r>
    <s v="NG20250196"/>
    <x v="106"/>
    <s v="Retail"/>
    <s v="Lagos State"/>
    <s v="Lagos"/>
    <x v="0"/>
    <x v="3"/>
    <s v="Mobile Money"/>
    <x v="6"/>
    <s v="Electronics"/>
    <n v="15"/>
    <n v="180000"/>
    <n v="136500"/>
    <n v="0"/>
    <x v="3"/>
    <s v="Delivered"/>
    <n v="2700000"/>
    <x v="170"/>
    <n v="2047500"/>
    <n v="652500"/>
    <m/>
  </r>
  <r>
    <s v="NG20250197"/>
    <x v="158"/>
    <s v="Corporate"/>
    <s v="Nasarawa State"/>
    <s v="Mararaba"/>
    <x v="1"/>
    <x v="2"/>
    <s v="Bank Transfer"/>
    <x v="10"/>
    <s v="Furniture"/>
    <n v="3"/>
    <n v="183750"/>
    <n v="126000"/>
    <n v="0"/>
    <x v="2"/>
    <s v="Pending"/>
    <n v="551250"/>
    <x v="171"/>
    <n v="378000"/>
    <n v="173250"/>
    <m/>
  </r>
  <r>
    <s v="NG20250198"/>
    <x v="159"/>
    <s v="Wholesale"/>
    <s v="Edo State"/>
    <s v="Benin City"/>
    <x v="4"/>
    <x v="2"/>
    <s v="Cash"/>
    <x v="6"/>
    <s v="Electronics"/>
    <n v="3"/>
    <n v="180000"/>
    <n v="130000"/>
    <n v="0"/>
    <x v="0"/>
    <s v="Delivered"/>
    <n v="540000"/>
    <x v="72"/>
    <n v="390000"/>
    <n v="150000"/>
    <m/>
  </r>
  <r>
    <s v="NG20250199"/>
    <x v="0"/>
    <s v="Corporate"/>
    <s v="Enugu State"/>
    <s v="Enugu"/>
    <x v="2"/>
    <x v="2"/>
    <s v="Bank Transfer"/>
    <x v="4"/>
    <s v="Home Appliances"/>
    <n v="2"/>
    <n v="48000"/>
    <n v="28500"/>
    <n v="0"/>
    <x v="4"/>
    <s v="Pending"/>
    <n v="96000"/>
    <x v="71"/>
    <n v="57000"/>
    <n v="39000"/>
    <m/>
  </r>
  <r>
    <s v="NG20250200"/>
    <x v="25"/>
    <s v="Wholesale"/>
    <s v="FCT"/>
    <s v="Abuja"/>
    <x v="1"/>
    <x v="0"/>
    <s v="Debit Card"/>
    <x v="4"/>
    <s v="Home Appliances"/>
    <n v="3"/>
    <n v="48000"/>
    <n v="30000"/>
    <n v="0"/>
    <x v="2"/>
    <s v="Returned"/>
    <n v="144000"/>
    <x v="127"/>
    <n v="90000"/>
    <n v="54000"/>
    <m/>
  </r>
  <r>
    <s v="NG20250201"/>
    <x v="160"/>
    <s v="Wholesale"/>
    <s v="FCT"/>
    <s v="Abuja"/>
    <x v="1"/>
    <x v="3"/>
    <s v="Bank Transfer"/>
    <x v="9"/>
    <s v="Fashion"/>
    <n v="1"/>
    <n v="37800"/>
    <n v="27300"/>
    <n v="0"/>
    <x v="4"/>
    <s v="Pending"/>
    <n v="37800"/>
    <x v="172"/>
    <n v="27300"/>
    <n v="10500"/>
    <m/>
  </r>
  <r>
    <s v="NG20250202"/>
    <x v="22"/>
    <s v="Wholesale"/>
    <s v="Anambra State"/>
    <s v="Onitsha"/>
    <x v="2"/>
    <x v="3"/>
    <s v="USSD"/>
    <x v="10"/>
    <s v="Furniture"/>
    <n v="2"/>
    <n v="166250"/>
    <n v="126000"/>
    <n v="0"/>
    <x v="1"/>
    <s v="Returned"/>
    <n v="332500"/>
    <x v="173"/>
    <n v="252000"/>
    <n v="80500"/>
    <m/>
  </r>
  <r>
    <s v="NG20250203"/>
    <x v="161"/>
    <s v="Wholesale"/>
    <s v="Rivers State"/>
    <s v="Port Harcourt"/>
    <x v="4"/>
    <x v="1"/>
    <s v="Mobile Money"/>
    <x v="7"/>
    <s v="Groceries"/>
    <n v="8"/>
    <n v="104500"/>
    <n v="82000"/>
    <n v="0.15"/>
    <x v="2"/>
    <s v="Delivered"/>
    <n v="836000"/>
    <x v="174"/>
    <n v="656000"/>
    <n v="54600"/>
    <m/>
  </r>
  <r>
    <s v="NG20250204"/>
    <x v="162"/>
    <s v="Retail"/>
    <s v="Anambra State"/>
    <s v="Onitsha"/>
    <x v="2"/>
    <x v="3"/>
    <s v="Mobile Money"/>
    <x v="3"/>
    <s v="Electronics"/>
    <n v="1"/>
    <n v="308000"/>
    <n v="210000"/>
    <n v="0.1"/>
    <x v="1"/>
    <s v="Delivered"/>
    <n v="308000"/>
    <x v="175"/>
    <n v="210000"/>
    <n v="67200"/>
    <m/>
  </r>
  <r>
    <s v="NG20250205"/>
    <x v="163"/>
    <s v="Retail"/>
    <s v="Rivers State"/>
    <s v="Port Harcourt"/>
    <x v="4"/>
    <x v="1"/>
    <s v="Cash"/>
    <x v="3"/>
    <s v="Electronics"/>
    <n v="2"/>
    <n v="280000"/>
    <n v="220500"/>
    <n v="0"/>
    <x v="0"/>
    <s v="Pending"/>
    <n v="560000"/>
    <x v="63"/>
    <n v="441000"/>
    <n v="119000"/>
    <m/>
  </r>
  <r>
    <s v="NG20250206"/>
    <x v="164"/>
    <s v="Corporate"/>
    <s v="Anambra State"/>
    <s v="Onitsha"/>
    <x v="2"/>
    <x v="0"/>
    <s v="Cash"/>
    <x v="8"/>
    <s v="Home Appliances"/>
    <n v="1"/>
    <n v="125000"/>
    <n v="85000"/>
    <n v="0.15"/>
    <x v="3"/>
    <s v="Pending"/>
    <n v="125000"/>
    <x v="176"/>
    <n v="85000"/>
    <n v="21250"/>
    <m/>
  </r>
  <r>
    <s v="NG20250207"/>
    <x v="165"/>
    <s v="Corporate"/>
    <s v="Kano State"/>
    <s v="Kano"/>
    <x v="3"/>
    <x v="1"/>
    <s v="Cash"/>
    <x v="1"/>
    <s v="Electronics"/>
    <n v="2"/>
    <n v="405000"/>
    <n v="332500"/>
    <n v="0"/>
    <x v="6"/>
    <s v="Delivered"/>
    <n v="810000"/>
    <x v="97"/>
    <n v="665000"/>
    <n v="145000"/>
    <m/>
  </r>
  <r>
    <s v="NG20250208"/>
    <x v="166"/>
    <s v="Corporate"/>
    <s v="Edo State"/>
    <s v="Benin City"/>
    <x v="4"/>
    <x v="0"/>
    <s v="Mobile Money"/>
    <x v="0"/>
    <s v="Fashion"/>
    <n v="5"/>
    <n v="22000"/>
    <n v="13000"/>
    <n v="0.05"/>
    <x v="6"/>
    <s v="Pending"/>
    <n v="110000"/>
    <x v="86"/>
    <n v="65000"/>
    <n v="39500"/>
    <m/>
  </r>
  <r>
    <s v="NG20250209"/>
    <x v="50"/>
    <s v="Retail"/>
    <s v="Plateau State"/>
    <s v="Jos"/>
    <x v="1"/>
    <x v="0"/>
    <s v="Bank Transfer"/>
    <x v="0"/>
    <s v="Fashion"/>
    <n v="1"/>
    <n v="22000"/>
    <n v="13650"/>
    <n v="0.1"/>
    <x v="4"/>
    <s v="Returned"/>
    <n v="22000"/>
    <x v="177"/>
    <n v="13650"/>
    <n v="6150"/>
    <m/>
  </r>
  <r>
    <s v="NG20250210"/>
    <x v="53"/>
    <s v="Corporate"/>
    <s v="Rivers State"/>
    <s v="Port Harcourt"/>
    <x v="4"/>
    <x v="2"/>
    <s v="Debit Card"/>
    <x v="8"/>
    <s v="Home Appliances"/>
    <n v="5"/>
    <n v="125000"/>
    <n v="89250"/>
    <n v="0"/>
    <x v="5"/>
    <s v="Pending"/>
    <n v="625000"/>
    <x v="178"/>
    <n v="446250"/>
    <n v="178750"/>
    <m/>
  </r>
  <r>
    <s v="NG20250211"/>
    <x v="150"/>
    <s v="Retail"/>
    <s v="Oyo State"/>
    <s v="Ibadan"/>
    <x v="0"/>
    <x v="0"/>
    <s v="Bank Transfer"/>
    <x v="9"/>
    <s v="Fashion"/>
    <n v="1"/>
    <n v="44100"/>
    <n v="27300"/>
    <n v="0.1"/>
    <x v="7"/>
    <s v="Delivered"/>
    <n v="44100"/>
    <x v="179"/>
    <n v="27300"/>
    <n v="12390"/>
    <m/>
  </r>
  <r>
    <s v="NG20250212"/>
    <x v="167"/>
    <s v="Corporate"/>
    <s v="Anambra State"/>
    <s v="Onitsha"/>
    <x v="2"/>
    <x v="2"/>
    <s v="Mobile Money"/>
    <x v="8"/>
    <s v="Home Appliances"/>
    <n v="5"/>
    <n v="137500"/>
    <n v="80750"/>
    <n v="0"/>
    <x v="5"/>
    <s v="Pending"/>
    <n v="687500"/>
    <x v="180"/>
    <n v="403750"/>
    <n v="283750"/>
    <m/>
  </r>
  <r>
    <s v="NG20250213"/>
    <x v="141"/>
    <s v="Wholesale"/>
    <s v="Ogun State"/>
    <s v="Abeokuta"/>
    <x v="0"/>
    <x v="3"/>
    <s v="Cash"/>
    <x v="1"/>
    <s v="Electronics"/>
    <n v="3"/>
    <n v="450000"/>
    <n v="350000"/>
    <n v="0.15"/>
    <x v="4"/>
    <s v="Delivered"/>
    <n v="1350000"/>
    <x v="181"/>
    <n v="1050000"/>
    <n v="97500"/>
    <m/>
  </r>
  <r>
    <s v="NG20250214"/>
    <x v="168"/>
    <s v="Wholesale"/>
    <s v="Rivers State"/>
    <s v="Port Harcourt"/>
    <x v="4"/>
    <x v="2"/>
    <s v="USSD"/>
    <x v="6"/>
    <s v="Electronics"/>
    <n v="4"/>
    <n v="180000"/>
    <n v="130000"/>
    <n v="0"/>
    <x v="1"/>
    <s v="Cancelled"/>
    <n v="720000"/>
    <x v="41"/>
    <n v="520000"/>
    <n v="200000"/>
    <m/>
  </r>
  <r>
    <s v="NG20250215"/>
    <x v="46"/>
    <s v="Corporate"/>
    <s v="Plateau State"/>
    <s v="Jos"/>
    <x v="1"/>
    <x v="1"/>
    <s v="Cash"/>
    <x v="1"/>
    <s v="Electronics"/>
    <n v="12"/>
    <n v="472500"/>
    <n v="367500"/>
    <n v="0.1"/>
    <x v="4"/>
    <s v="Returned"/>
    <n v="5670000"/>
    <x v="182"/>
    <n v="4410000"/>
    <n v="693000"/>
    <m/>
  </r>
  <r>
    <s v="NG20250216"/>
    <x v="169"/>
    <s v="Retail"/>
    <s v="Ogun State"/>
    <s v="Abeokuta"/>
    <x v="0"/>
    <x v="1"/>
    <s v="Bank Transfer"/>
    <x v="4"/>
    <s v="Home Appliances"/>
    <n v="6"/>
    <n v="48000"/>
    <n v="30000"/>
    <n v="0"/>
    <x v="0"/>
    <s v="Returned"/>
    <n v="288000"/>
    <x v="140"/>
    <n v="180000"/>
    <n v="108000"/>
    <m/>
  </r>
  <r>
    <s v="NG20250217"/>
    <x v="170"/>
    <s v="Wholesale"/>
    <s v="Enugu State"/>
    <s v="Enugu"/>
    <x v="2"/>
    <x v="0"/>
    <s v="USSD"/>
    <x v="4"/>
    <s v="Home Appliances"/>
    <n v="4"/>
    <n v="48000"/>
    <n v="30000"/>
    <n v="0"/>
    <x v="2"/>
    <s v="Delivered"/>
    <n v="192000"/>
    <x v="61"/>
    <n v="120000"/>
    <n v="72000"/>
    <m/>
  </r>
  <r>
    <s v="NG20250218"/>
    <x v="171"/>
    <s v="Wholesale"/>
    <s v="Enugu State"/>
    <s v="Enugu"/>
    <x v="2"/>
    <x v="0"/>
    <s v="Bank Transfer"/>
    <x v="3"/>
    <s v="Electronics"/>
    <n v="5"/>
    <n v="266000"/>
    <n v="199500"/>
    <n v="0"/>
    <x v="5"/>
    <s v="Returned"/>
    <n v="1330000"/>
    <x v="183"/>
    <n v="997500"/>
    <n v="332500"/>
    <m/>
  </r>
  <r>
    <s v="NG20250219"/>
    <x v="172"/>
    <s v="Retail"/>
    <s v="Edo State"/>
    <s v="Benin City"/>
    <x v="4"/>
    <x v="2"/>
    <s v="Cash"/>
    <x v="2"/>
    <s v="Groceries"/>
    <n v="5"/>
    <n v="17575"/>
    <n v="15225"/>
    <n v="0"/>
    <x v="3"/>
    <s v="Delivered"/>
    <n v="87875"/>
    <x v="144"/>
    <n v="76125"/>
    <n v="11750"/>
    <m/>
  </r>
  <r>
    <s v="NG20250220"/>
    <x v="173"/>
    <s v="Corporate"/>
    <s v="Kaduna State"/>
    <s v="Kaduna"/>
    <x v="3"/>
    <x v="3"/>
    <s v="USSD"/>
    <x v="9"/>
    <s v="Fashion"/>
    <n v="3"/>
    <n v="44100"/>
    <n v="26000"/>
    <n v="0.05"/>
    <x v="1"/>
    <s v="Cancelled"/>
    <n v="132300"/>
    <x v="16"/>
    <n v="78000"/>
    <n v="47685"/>
    <m/>
  </r>
  <r>
    <s v="NG20250221"/>
    <x v="133"/>
    <s v="Retail"/>
    <s v="Rivers State"/>
    <s v="Port Harcourt"/>
    <x v="4"/>
    <x v="1"/>
    <s v="Debit Card"/>
    <x v="7"/>
    <s v="Groceries"/>
    <n v="2"/>
    <n v="95000"/>
    <n v="82000"/>
    <n v="0.1"/>
    <x v="5"/>
    <s v="Pending"/>
    <n v="190000"/>
    <x v="155"/>
    <n v="164000"/>
    <n v="7000"/>
    <m/>
  </r>
  <r>
    <s v="NG20250222"/>
    <x v="74"/>
    <s v="Corporate"/>
    <s v="Plateau State"/>
    <s v="Jos"/>
    <x v="1"/>
    <x v="1"/>
    <s v="Debit Card"/>
    <x v="10"/>
    <s v="Furniture"/>
    <n v="3"/>
    <n v="175000"/>
    <n v="120000"/>
    <n v="0.15"/>
    <x v="6"/>
    <s v="Delivered"/>
    <n v="525000"/>
    <x v="184"/>
    <n v="360000"/>
    <n v="86250"/>
    <m/>
  </r>
  <r>
    <s v="NG20250223"/>
    <x v="156"/>
    <s v="Wholesale"/>
    <s v="Plateau State"/>
    <s v="Jos"/>
    <x v="1"/>
    <x v="3"/>
    <s v="Debit Card"/>
    <x v="11"/>
    <s v="Electronics"/>
    <n v="2"/>
    <n v="160000"/>
    <n v="115000"/>
    <n v="0.05"/>
    <x v="1"/>
    <s v="Returned"/>
    <n v="320000"/>
    <x v="105"/>
    <n v="230000"/>
    <n v="74000"/>
    <m/>
  </r>
  <r>
    <s v="NG20250224"/>
    <x v="84"/>
    <s v="Retail"/>
    <s v="Rivers State"/>
    <s v="Port Harcourt"/>
    <x v="4"/>
    <x v="1"/>
    <s v="Cash"/>
    <x v="9"/>
    <s v="Fashion"/>
    <n v="5"/>
    <n v="42000"/>
    <n v="26000"/>
    <n v="0.15"/>
    <x v="7"/>
    <s v="Delivered"/>
    <n v="210000"/>
    <x v="185"/>
    <n v="130000"/>
    <n v="48500"/>
    <m/>
  </r>
  <r>
    <s v="NG20250225"/>
    <x v="34"/>
    <s v="Wholesale"/>
    <s v="Lagos State"/>
    <s v="Lagos"/>
    <x v="0"/>
    <x v="2"/>
    <s v="Bank Transfer"/>
    <x v="7"/>
    <s v="Groceries"/>
    <n v="8"/>
    <n v="85500"/>
    <n v="77900"/>
    <n v="0"/>
    <x v="6"/>
    <s v="Delivered"/>
    <n v="684000"/>
    <x v="186"/>
    <n v="623200"/>
    <n v="60800"/>
    <m/>
  </r>
  <r>
    <s v="NG20250226"/>
    <x v="45"/>
    <s v="Wholesale"/>
    <s v="FCT"/>
    <s v="Abuja"/>
    <x v="1"/>
    <x v="1"/>
    <s v="USSD"/>
    <x v="1"/>
    <s v="Electronics"/>
    <n v="3"/>
    <n v="450000"/>
    <n v="332500"/>
    <n v="0.1"/>
    <x v="7"/>
    <s v="Returned"/>
    <n v="1350000"/>
    <x v="187"/>
    <n v="997500"/>
    <n v="217500"/>
    <m/>
  </r>
  <r>
    <s v="NG20250227"/>
    <x v="97"/>
    <s v="Corporate"/>
    <s v="Enugu State"/>
    <s v="Enugu"/>
    <x v="2"/>
    <x v="0"/>
    <s v="Mobile Money"/>
    <x v="1"/>
    <s v="Electronics"/>
    <n v="4"/>
    <n v="405000"/>
    <n v="332500"/>
    <n v="0.1"/>
    <x v="0"/>
    <s v="Cancelled"/>
    <n v="1620000"/>
    <x v="188"/>
    <n v="1330000"/>
    <n v="128000"/>
    <m/>
  </r>
  <r>
    <s v="NG20250228"/>
    <x v="4"/>
    <s v="Wholesale"/>
    <s v="Oyo State"/>
    <s v="Ibadan"/>
    <x v="0"/>
    <x v="3"/>
    <s v="Debit Card"/>
    <x v="6"/>
    <s v="Electronics"/>
    <n v="10"/>
    <n v="180000"/>
    <n v="130000"/>
    <n v="0"/>
    <x v="4"/>
    <s v="Cancelled"/>
    <n v="1800000"/>
    <x v="27"/>
    <n v="1300000"/>
    <n v="500000"/>
    <m/>
  </r>
  <r>
    <s v="NG20250229"/>
    <x v="174"/>
    <s v="Retail"/>
    <s v="Oyo State"/>
    <s v="Ibadan"/>
    <x v="0"/>
    <x v="3"/>
    <s v="Bank Transfer"/>
    <x v="4"/>
    <s v="Home Appliances"/>
    <n v="3"/>
    <n v="48000"/>
    <n v="31500"/>
    <n v="0.1"/>
    <x v="7"/>
    <s v="Returned"/>
    <n v="144000"/>
    <x v="189"/>
    <n v="94500"/>
    <n v="35100"/>
    <m/>
  </r>
  <r>
    <s v="NG20250230"/>
    <x v="45"/>
    <s v="Wholesale"/>
    <s v="Kano State"/>
    <s v="Kano"/>
    <x v="3"/>
    <x v="2"/>
    <s v="Bank Transfer"/>
    <x v="3"/>
    <s v="Electronics"/>
    <n v="3"/>
    <n v="280000"/>
    <n v="220500"/>
    <n v="0"/>
    <x v="1"/>
    <s v="Delivered"/>
    <n v="840000"/>
    <x v="190"/>
    <n v="661500"/>
    <n v="178500"/>
    <m/>
  </r>
  <r>
    <s v="NG20250231"/>
    <x v="131"/>
    <s v="Retail"/>
    <s v="Rivers State"/>
    <s v="Port Harcourt"/>
    <x v="4"/>
    <x v="1"/>
    <s v="Debit Card"/>
    <x v="4"/>
    <s v="Home Appliances"/>
    <n v="6"/>
    <n v="48000"/>
    <n v="28500"/>
    <n v="0.1"/>
    <x v="7"/>
    <s v="Delivered"/>
    <n v="288000"/>
    <x v="191"/>
    <n v="171000"/>
    <n v="88200"/>
    <m/>
  </r>
  <r>
    <s v="NG20250232"/>
    <x v="175"/>
    <s v="Retail"/>
    <s v="Rivers State"/>
    <s v="Port Harcourt"/>
    <x v="4"/>
    <x v="2"/>
    <s v="USSD"/>
    <x v="3"/>
    <s v="Electronics"/>
    <n v="10"/>
    <n v="280000"/>
    <n v="199500"/>
    <n v="0"/>
    <x v="3"/>
    <s v="Delivered"/>
    <n v="2800000"/>
    <x v="192"/>
    <n v="1995000"/>
    <n v="805000"/>
    <m/>
  </r>
  <r>
    <s v="NG20250233"/>
    <x v="120"/>
    <s v="Corporate"/>
    <s v="Ogun State"/>
    <s v="Abeokuta"/>
    <x v="0"/>
    <x v="2"/>
    <s v="Bank Transfer"/>
    <x v="5"/>
    <s v="Furniture"/>
    <n v="4"/>
    <n v="95000"/>
    <n v="65100"/>
    <n v="0.15"/>
    <x v="2"/>
    <s v="Delivered"/>
    <n v="380000"/>
    <x v="141"/>
    <n v="260400"/>
    <n v="62600"/>
    <m/>
  </r>
  <r>
    <s v="NG20250234"/>
    <x v="176"/>
    <s v="Wholesale"/>
    <s v="Oyo State"/>
    <s v="Ibadan"/>
    <x v="0"/>
    <x v="1"/>
    <s v="Debit Card"/>
    <x v="1"/>
    <s v="Electronics"/>
    <n v="3"/>
    <n v="495000"/>
    <n v="332500"/>
    <n v="0"/>
    <x v="7"/>
    <s v="Cancelled"/>
    <n v="1485000"/>
    <x v="33"/>
    <n v="997500"/>
    <n v="487500"/>
    <m/>
  </r>
  <r>
    <s v="NG20250235"/>
    <x v="177"/>
    <s v="Corporate"/>
    <s v="Nasarawa State"/>
    <s v="Mararaba"/>
    <x v="1"/>
    <x v="1"/>
    <s v="Cash"/>
    <x v="0"/>
    <s v="Fashion"/>
    <n v="6"/>
    <n v="22000"/>
    <n v="13650"/>
    <n v="0"/>
    <x v="0"/>
    <s v="Cancelled"/>
    <n v="132000"/>
    <x v="193"/>
    <n v="81900"/>
    <n v="50100"/>
    <m/>
  </r>
  <r>
    <s v="NG20250236"/>
    <x v="178"/>
    <s v="Corporate"/>
    <s v="Anambra State"/>
    <s v="Onitsha"/>
    <x v="2"/>
    <x v="2"/>
    <s v="USSD"/>
    <x v="3"/>
    <s v="Electronics"/>
    <n v="2"/>
    <n v="266000"/>
    <n v="199500"/>
    <n v="0"/>
    <x v="2"/>
    <s v="Delivered"/>
    <n v="532000"/>
    <x v="103"/>
    <n v="399000"/>
    <n v="133000"/>
    <m/>
  </r>
  <r>
    <s v="NG20250237"/>
    <x v="179"/>
    <s v="Retail"/>
    <s v="Oyo State"/>
    <s v="Ibadan"/>
    <x v="0"/>
    <x v="0"/>
    <s v="Cash"/>
    <x v="10"/>
    <s v="Furniture"/>
    <n v="1"/>
    <n v="175000"/>
    <n v="126000"/>
    <n v="0"/>
    <x v="0"/>
    <s v="Delivered"/>
    <n v="175000"/>
    <x v="194"/>
    <n v="126000"/>
    <n v="49000"/>
    <m/>
  </r>
  <r>
    <s v="NG20250238"/>
    <x v="180"/>
    <s v="Wholesale"/>
    <s v="Enugu State"/>
    <s v="Enugu"/>
    <x v="2"/>
    <x v="0"/>
    <s v="Mobile Money"/>
    <x v="8"/>
    <s v="Home Appliances"/>
    <n v="4"/>
    <n v="125000"/>
    <n v="80750"/>
    <n v="0"/>
    <x v="2"/>
    <s v="Delivered"/>
    <n v="500000"/>
    <x v="195"/>
    <n v="323000"/>
    <n v="177000"/>
    <m/>
  </r>
  <r>
    <s v="NG20250239"/>
    <x v="107"/>
    <s v="Wholesale"/>
    <s v="Lagos State"/>
    <s v="Lagos"/>
    <x v="0"/>
    <x v="2"/>
    <s v="USSD"/>
    <x v="4"/>
    <s v="Home Appliances"/>
    <n v="2"/>
    <n v="48000"/>
    <n v="28500"/>
    <n v="0.15"/>
    <x v="6"/>
    <s v="Delivered"/>
    <n v="96000"/>
    <x v="75"/>
    <n v="57000"/>
    <n v="24600"/>
    <m/>
  </r>
  <r>
    <s v="NG20250240"/>
    <x v="80"/>
    <s v="Corporate"/>
    <s v="Nasarawa State"/>
    <s v="Mararaba"/>
    <x v="1"/>
    <x v="1"/>
    <s v="Debit Card"/>
    <x v="6"/>
    <s v="Electronics"/>
    <n v="2"/>
    <n v="180000"/>
    <n v="130000"/>
    <n v="0"/>
    <x v="1"/>
    <s v="Pending"/>
    <n v="360000"/>
    <x v="112"/>
    <n v="260000"/>
    <n v="100000"/>
    <m/>
  </r>
  <r>
    <s v="NG20250241"/>
    <x v="181"/>
    <s v="Corporate"/>
    <s v="Plateau State"/>
    <s v="Jos"/>
    <x v="1"/>
    <x v="0"/>
    <s v="Cash"/>
    <x v="3"/>
    <s v="Electronics"/>
    <n v="2"/>
    <n v="266000"/>
    <n v="220500"/>
    <n v="0.1"/>
    <x v="4"/>
    <s v="Delivered"/>
    <n v="532000"/>
    <x v="56"/>
    <n v="441000"/>
    <n v="37800"/>
    <m/>
  </r>
  <r>
    <s v="NG20250242"/>
    <x v="182"/>
    <s v="Corporate"/>
    <s v="Kano State"/>
    <s v="Kano"/>
    <x v="3"/>
    <x v="2"/>
    <s v="Debit Card"/>
    <x v="1"/>
    <s v="Electronics"/>
    <n v="2"/>
    <n v="450000"/>
    <n v="367500"/>
    <n v="0"/>
    <x v="2"/>
    <s v="Delivered"/>
    <n v="900000"/>
    <x v="60"/>
    <n v="735000"/>
    <n v="165000"/>
    <m/>
  </r>
  <r>
    <s v="NG20250243"/>
    <x v="46"/>
    <s v="Wholesale"/>
    <s v="Edo State"/>
    <s v="Benin City"/>
    <x v="4"/>
    <x v="1"/>
    <s v="Mobile Money"/>
    <x v="2"/>
    <s v="Groceries"/>
    <n v="2"/>
    <n v="18500"/>
    <n v="14500"/>
    <n v="0.05"/>
    <x v="5"/>
    <s v="Delivered"/>
    <n v="37000"/>
    <x v="196"/>
    <n v="29000"/>
    <n v="6150"/>
    <m/>
  </r>
  <r>
    <s v="NG20250244"/>
    <x v="183"/>
    <s v="Retail"/>
    <s v="Kano State"/>
    <s v="Kano"/>
    <x v="3"/>
    <x v="2"/>
    <s v="Mobile Money"/>
    <x v="10"/>
    <s v="Furniture"/>
    <n v="2"/>
    <n v="192500"/>
    <n v="126000"/>
    <n v="0"/>
    <x v="7"/>
    <s v="Cancelled"/>
    <n v="385000"/>
    <x v="197"/>
    <n v="252000"/>
    <n v="133000"/>
    <m/>
  </r>
  <r>
    <s v="NG20250245"/>
    <x v="184"/>
    <s v="Corporate"/>
    <s v="Kaduna State"/>
    <s v="Kaduna"/>
    <x v="3"/>
    <x v="1"/>
    <s v="Cash"/>
    <x v="9"/>
    <s v="Fashion"/>
    <n v="12"/>
    <n v="39900"/>
    <n v="27300"/>
    <n v="0"/>
    <x v="4"/>
    <s v="Delivered"/>
    <n v="478800"/>
    <x v="56"/>
    <n v="327600"/>
    <n v="151200"/>
    <m/>
  </r>
  <r>
    <s v="NG20250246"/>
    <x v="185"/>
    <s v="Wholesale"/>
    <s v="Nasarawa State"/>
    <s v="Mararaba"/>
    <x v="1"/>
    <x v="1"/>
    <s v="Mobile Money"/>
    <x v="11"/>
    <s v="Electronics"/>
    <n v="5"/>
    <n v="168000"/>
    <n v="120750"/>
    <n v="0.05"/>
    <x v="0"/>
    <s v="Pending"/>
    <n v="840000"/>
    <x v="198"/>
    <n v="603750"/>
    <n v="194250"/>
    <m/>
  </r>
  <r>
    <s v="NG20250247"/>
    <x v="32"/>
    <s v="Wholesale"/>
    <s v="Enugu State"/>
    <s v="Enugu"/>
    <x v="2"/>
    <x v="0"/>
    <s v="Bank Transfer"/>
    <x v="7"/>
    <s v="Groceries"/>
    <n v="10"/>
    <n v="104500"/>
    <n v="86100"/>
    <n v="0.1"/>
    <x v="5"/>
    <s v="Delivered"/>
    <n v="1045000"/>
    <x v="199"/>
    <n v="861000"/>
    <n v="79500"/>
    <m/>
  </r>
  <r>
    <s v="NG20250248"/>
    <x v="111"/>
    <s v="Wholesale"/>
    <s v="Rivers State"/>
    <s v="Port Harcourt"/>
    <x v="4"/>
    <x v="1"/>
    <s v="Debit Card"/>
    <x v="0"/>
    <s v="Fashion"/>
    <n v="2"/>
    <n v="23100"/>
    <n v="12350"/>
    <n v="0.1"/>
    <x v="0"/>
    <s v="Returned"/>
    <n v="46200"/>
    <x v="200"/>
    <n v="24700"/>
    <n v="16880"/>
    <m/>
  </r>
  <r>
    <s v="NG20250249"/>
    <x v="12"/>
    <s v="Corporate"/>
    <s v="Lagos State"/>
    <s v="Lagos"/>
    <x v="0"/>
    <x v="2"/>
    <s v="Debit Card"/>
    <x v="3"/>
    <s v="Electronics"/>
    <n v="1"/>
    <n v="266000"/>
    <n v="210000"/>
    <n v="0.05"/>
    <x v="7"/>
    <s v="Pending"/>
    <n v="266000"/>
    <x v="201"/>
    <n v="210000"/>
    <n v="42700"/>
    <m/>
  </r>
  <r>
    <s v="NG20250250"/>
    <x v="68"/>
    <s v="Corporate"/>
    <s v="Oyo State"/>
    <s v="Ibadan"/>
    <x v="0"/>
    <x v="3"/>
    <s v="USSD"/>
    <x v="8"/>
    <s v="Home Appliances"/>
    <n v="2"/>
    <n v="112500"/>
    <n v="80750"/>
    <n v="0.15"/>
    <x v="5"/>
    <s v="Delivered"/>
    <n v="225000"/>
    <x v="202"/>
    <n v="161500"/>
    <n v="29750"/>
    <m/>
  </r>
  <r>
    <s v="NG20250251"/>
    <x v="186"/>
    <s v="Corporate"/>
    <s v="Kaduna State"/>
    <s v="Kaduna"/>
    <x v="3"/>
    <x v="0"/>
    <s v="Debit Card"/>
    <x v="7"/>
    <s v="Groceries"/>
    <n v="2"/>
    <n v="85500"/>
    <n v="86100"/>
    <n v="0.15"/>
    <x v="7"/>
    <s v="Pending"/>
    <n v="171000"/>
    <x v="169"/>
    <n v="172200"/>
    <n v="-26850"/>
    <m/>
  </r>
  <r>
    <s v="NG20250252"/>
    <x v="14"/>
    <s v="Retail"/>
    <s v="Oyo State"/>
    <s v="Ibadan"/>
    <x v="0"/>
    <x v="2"/>
    <s v="Mobile Money"/>
    <x v="9"/>
    <s v="Fashion"/>
    <n v="1"/>
    <n v="42000"/>
    <n v="24700"/>
    <n v="0.15"/>
    <x v="6"/>
    <s v="Returned"/>
    <n v="42000"/>
    <x v="203"/>
    <n v="24700"/>
    <n v="11000"/>
    <m/>
  </r>
  <r>
    <s v="NG20250253"/>
    <x v="73"/>
    <s v="Retail"/>
    <s v="Enugu State"/>
    <s v="Enugu"/>
    <x v="2"/>
    <x v="1"/>
    <s v="USSD"/>
    <x v="10"/>
    <s v="Furniture"/>
    <n v="3"/>
    <n v="175000"/>
    <n v="120000"/>
    <n v="0.05"/>
    <x v="7"/>
    <s v="Delivered"/>
    <n v="525000"/>
    <x v="39"/>
    <n v="360000"/>
    <n v="138750"/>
    <m/>
  </r>
  <r>
    <s v="NG20250254"/>
    <x v="187"/>
    <s v="Retail"/>
    <s v="Anambra State"/>
    <s v="Onitsha"/>
    <x v="2"/>
    <x v="2"/>
    <s v="Debit Card"/>
    <x v="9"/>
    <s v="Fashion"/>
    <n v="10"/>
    <n v="42000"/>
    <n v="27300"/>
    <n v="0.05"/>
    <x v="3"/>
    <s v="Returned"/>
    <n v="420000"/>
    <x v="204"/>
    <n v="273000"/>
    <n v="126000"/>
    <m/>
  </r>
  <r>
    <s v="NG20250255"/>
    <x v="6"/>
    <s v="Corporate"/>
    <s v="Oyo State"/>
    <s v="Ibadan"/>
    <x v="0"/>
    <x v="0"/>
    <s v="Debit Card"/>
    <x v="2"/>
    <s v="Groceries"/>
    <n v="6"/>
    <n v="18500"/>
    <n v="14500"/>
    <n v="0"/>
    <x v="1"/>
    <s v="Delivered"/>
    <n v="111000"/>
    <x v="205"/>
    <n v="87000"/>
    <n v="24000"/>
    <m/>
  </r>
  <r>
    <s v="NG20250256"/>
    <x v="183"/>
    <s v="Corporate"/>
    <s v="Rivers State"/>
    <s v="Port Harcourt"/>
    <x v="4"/>
    <x v="1"/>
    <s v="Mobile Money"/>
    <x v="7"/>
    <s v="Groceries"/>
    <n v="2"/>
    <n v="95000"/>
    <n v="86100"/>
    <n v="0.1"/>
    <x v="6"/>
    <s v="Delivered"/>
    <n v="190000"/>
    <x v="155"/>
    <n v="172200"/>
    <n v="-1200"/>
    <m/>
  </r>
  <r>
    <s v="NG20250257"/>
    <x v="188"/>
    <s v="Retail"/>
    <s v="Edo State"/>
    <s v="Benin City"/>
    <x v="4"/>
    <x v="2"/>
    <s v="Debit Card"/>
    <x v="0"/>
    <s v="Fashion"/>
    <n v="6"/>
    <n v="22000"/>
    <n v="12350"/>
    <n v="0.15"/>
    <x v="3"/>
    <s v="Delivered"/>
    <n v="132000"/>
    <x v="206"/>
    <n v="74100"/>
    <n v="38100"/>
    <m/>
  </r>
  <r>
    <s v="NG20250258"/>
    <x v="161"/>
    <s v="Wholesale"/>
    <s v="Plateau State"/>
    <s v="Jos"/>
    <x v="1"/>
    <x v="1"/>
    <s v="USSD"/>
    <x v="6"/>
    <s v="Electronics"/>
    <n v="5"/>
    <n v="180000"/>
    <n v="136500"/>
    <n v="0.05"/>
    <x v="6"/>
    <s v="Delivered"/>
    <n v="900000"/>
    <x v="31"/>
    <n v="682500"/>
    <n v="172500"/>
    <m/>
  </r>
  <r>
    <s v="NG20250259"/>
    <x v="80"/>
    <s v="Corporate"/>
    <s v="Rivers State"/>
    <s v="Port Harcourt"/>
    <x v="4"/>
    <x v="2"/>
    <s v="Cash"/>
    <x v="8"/>
    <s v="Home Appliances"/>
    <n v="4"/>
    <n v="131250"/>
    <n v="85000"/>
    <n v="0.1"/>
    <x v="2"/>
    <s v="Pending"/>
    <n v="525000"/>
    <x v="207"/>
    <n v="340000"/>
    <n v="132500"/>
    <m/>
  </r>
  <r>
    <s v="NG20250260"/>
    <x v="189"/>
    <s v="Corporate"/>
    <s v="Anambra State"/>
    <s v="Onitsha"/>
    <x v="2"/>
    <x v="1"/>
    <s v="USSD"/>
    <x v="8"/>
    <s v="Home Appliances"/>
    <n v="1"/>
    <n v="125000"/>
    <n v="80750"/>
    <n v="0.05"/>
    <x v="1"/>
    <s v="Delivered"/>
    <n v="125000"/>
    <x v="208"/>
    <n v="80750"/>
    <n v="38000"/>
    <m/>
  </r>
  <r>
    <s v="NG20250261"/>
    <x v="190"/>
    <s v="Retail"/>
    <s v="Edo State"/>
    <s v="Benin City"/>
    <x v="4"/>
    <x v="3"/>
    <s v="Bank Transfer"/>
    <x v="4"/>
    <s v="Home Appliances"/>
    <n v="8"/>
    <n v="48000"/>
    <n v="30000"/>
    <n v="0"/>
    <x v="4"/>
    <s v="Delivered"/>
    <n v="384000"/>
    <x v="209"/>
    <n v="240000"/>
    <n v="144000"/>
    <m/>
  </r>
  <r>
    <s v="NG20250262"/>
    <x v="191"/>
    <s v="Wholesale"/>
    <s v="Enugu State"/>
    <s v="Enugu"/>
    <x v="2"/>
    <x v="0"/>
    <s v="Mobile Money"/>
    <x v="11"/>
    <s v="Electronics"/>
    <n v="2"/>
    <n v="176000"/>
    <n v="120750"/>
    <n v="0.1"/>
    <x v="3"/>
    <s v="Cancelled"/>
    <n v="352000"/>
    <x v="210"/>
    <n v="241500"/>
    <n v="75300"/>
    <m/>
  </r>
  <r>
    <s v="NG20250263"/>
    <x v="182"/>
    <s v="Retail"/>
    <s v="Enugu State"/>
    <s v="Enugu"/>
    <x v="2"/>
    <x v="1"/>
    <s v="Bank Transfer"/>
    <x v="5"/>
    <s v="Furniture"/>
    <n v="8"/>
    <n v="95000"/>
    <n v="58900"/>
    <n v="0.15"/>
    <x v="5"/>
    <s v="Cancelled"/>
    <n v="760000"/>
    <x v="211"/>
    <n v="471200"/>
    <n v="174800"/>
    <m/>
  </r>
  <r>
    <s v="NG20250264"/>
    <x v="66"/>
    <s v="Retail"/>
    <s v="Lagos State"/>
    <s v="Lagos"/>
    <x v="0"/>
    <x v="3"/>
    <s v="Mobile Money"/>
    <x v="5"/>
    <s v="Furniture"/>
    <n v="3"/>
    <n v="95000"/>
    <n v="58900"/>
    <n v="0.05"/>
    <x v="0"/>
    <s v="Delivered"/>
    <n v="285000"/>
    <x v="212"/>
    <n v="176700"/>
    <n v="94050"/>
    <m/>
  </r>
  <r>
    <s v="NG20250265"/>
    <x v="41"/>
    <s v="Wholesale"/>
    <s v="Anambra State"/>
    <s v="Onitsha"/>
    <x v="2"/>
    <x v="3"/>
    <s v="Mobile Money"/>
    <x v="6"/>
    <s v="Electronics"/>
    <n v="1"/>
    <n v="171000"/>
    <n v="130000"/>
    <n v="0"/>
    <x v="6"/>
    <s v="Delivered"/>
    <n v="171000"/>
    <x v="155"/>
    <n v="130000"/>
    <n v="41000"/>
    <m/>
  </r>
  <r>
    <s v="NG20250266"/>
    <x v="192"/>
    <s v="Retail"/>
    <s v="Edo State"/>
    <s v="Benin City"/>
    <x v="4"/>
    <x v="1"/>
    <s v="Bank Transfer"/>
    <x v="10"/>
    <s v="Furniture"/>
    <n v="2"/>
    <n v="175000"/>
    <n v="120000"/>
    <n v="0.1"/>
    <x v="4"/>
    <s v="Delivered"/>
    <n v="350000"/>
    <x v="213"/>
    <n v="240000"/>
    <n v="75000"/>
    <m/>
  </r>
  <r>
    <s v="NG20250267"/>
    <x v="193"/>
    <s v="Retail"/>
    <s v="Ogun State"/>
    <s v="Abeokuta"/>
    <x v="0"/>
    <x v="1"/>
    <s v="USSD"/>
    <x v="0"/>
    <s v="Fashion"/>
    <n v="5"/>
    <n v="20900"/>
    <n v="13000"/>
    <n v="0"/>
    <x v="6"/>
    <s v="Delivered"/>
    <n v="104500"/>
    <x v="86"/>
    <n v="65000"/>
    <n v="39500"/>
    <m/>
  </r>
  <r>
    <s v="NG20250268"/>
    <x v="67"/>
    <s v="Retail"/>
    <s v="Rivers State"/>
    <s v="Port Harcourt"/>
    <x v="4"/>
    <x v="1"/>
    <s v="Mobile Money"/>
    <x v="2"/>
    <s v="Groceries"/>
    <n v="2"/>
    <n v="18500"/>
    <n v="15225"/>
    <n v="0.05"/>
    <x v="4"/>
    <s v="Returned"/>
    <n v="37000"/>
    <x v="196"/>
    <n v="30450"/>
    <n v="4700"/>
    <m/>
  </r>
  <r>
    <s v="NG20250269"/>
    <x v="11"/>
    <s v="Retail"/>
    <s v="Plateau State"/>
    <s v="Jos"/>
    <x v="1"/>
    <x v="1"/>
    <s v="Debit Card"/>
    <x v="9"/>
    <s v="Fashion"/>
    <n v="3"/>
    <n v="42000"/>
    <n v="26000"/>
    <n v="0.1"/>
    <x v="3"/>
    <s v="Returned"/>
    <n v="126000"/>
    <x v="214"/>
    <n v="78000"/>
    <n v="35400"/>
    <m/>
  </r>
  <r>
    <s v="NG20250270"/>
    <x v="178"/>
    <s v="Corporate"/>
    <s v="Kano State"/>
    <s v="Kano"/>
    <x v="3"/>
    <x v="3"/>
    <s v="Mobile Money"/>
    <x v="7"/>
    <s v="Groceries"/>
    <n v="2"/>
    <n v="95000"/>
    <n v="82000"/>
    <n v="0.05"/>
    <x v="6"/>
    <s v="Delivered"/>
    <n v="190000"/>
    <x v="80"/>
    <n v="164000"/>
    <n v="16500"/>
    <m/>
  </r>
  <r>
    <s v="NG20250271"/>
    <x v="194"/>
    <s v="Corporate"/>
    <s v="Kaduna State"/>
    <s v="Kaduna"/>
    <x v="3"/>
    <x v="0"/>
    <s v="Bank Transfer"/>
    <x v="2"/>
    <s v="Groceries"/>
    <n v="6"/>
    <n v="19425"/>
    <n v="13775"/>
    <n v="0"/>
    <x v="6"/>
    <s v="Returned"/>
    <n v="116550"/>
    <x v="215"/>
    <n v="82650"/>
    <n v="33900"/>
    <m/>
  </r>
  <r>
    <s v="NG20250272"/>
    <x v="195"/>
    <s v="Corporate"/>
    <s v="Kaduna State"/>
    <s v="Kaduna"/>
    <x v="3"/>
    <x v="2"/>
    <s v="Debit Card"/>
    <x v="8"/>
    <s v="Home Appliances"/>
    <n v="1"/>
    <n v="125000"/>
    <n v="85000"/>
    <n v="0.15"/>
    <x v="3"/>
    <s v="Returned"/>
    <n v="125000"/>
    <x v="176"/>
    <n v="85000"/>
    <n v="21250"/>
    <m/>
  </r>
  <r>
    <s v="NG20250273"/>
    <x v="196"/>
    <s v="Corporate"/>
    <s v="Plateau State"/>
    <s v="Jos"/>
    <x v="1"/>
    <x v="2"/>
    <s v="USSD"/>
    <x v="0"/>
    <s v="Fashion"/>
    <n v="2"/>
    <n v="22000"/>
    <n v="13000"/>
    <n v="0"/>
    <x v="3"/>
    <s v="Returned"/>
    <n v="44000"/>
    <x v="26"/>
    <n v="26000"/>
    <n v="18000"/>
    <m/>
  </r>
  <r>
    <s v="NG20250274"/>
    <x v="95"/>
    <s v="Wholesale"/>
    <s v="Oyo State"/>
    <s v="Ibadan"/>
    <x v="0"/>
    <x v="1"/>
    <s v="Bank Transfer"/>
    <x v="9"/>
    <s v="Fashion"/>
    <n v="1"/>
    <n v="42000"/>
    <n v="24700"/>
    <n v="0"/>
    <x v="7"/>
    <s v="Delivered"/>
    <n v="42000"/>
    <x v="216"/>
    <n v="24700"/>
    <n v="17300"/>
    <m/>
  </r>
  <r>
    <s v="NG20250275"/>
    <x v="195"/>
    <s v="Retail"/>
    <s v="Plateau State"/>
    <s v="Jos"/>
    <x v="1"/>
    <x v="2"/>
    <s v="USSD"/>
    <x v="9"/>
    <s v="Fashion"/>
    <n v="6"/>
    <n v="46200"/>
    <n v="27300"/>
    <n v="0.15"/>
    <x v="3"/>
    <s v="Pending"/>
    <n v="277200"/>
    <x v="217"/>
    <n v="163800"/>
    <n v="71820"/>
    <m/>
  </r>
  <r>
    <s v="NG20250276"/>
    <x v="77"/>
    <s v="Wholesale"/>
    <s v="Oyo State"/>
    <s v="Ibadan"/>
    <x v="0"/>
    <x v="2"/>
    <s v="Bank Transfer"/>
    <x v="9"/>
    <s v="Fashion"/>
    <n v="1"/>
    <n v="42000"/>
    <n v="26000"/>
    <n v="0"/>
    <x v="7"/>
    <s v="Delivered"/>
    <n v="42000"/>
    <x v="216"/>
    <n v="26000"/>
    <n v="16000"/>
    <m/>
  </r>
  <r>
    <s v="NG20250277"/>
    <x v="115"/>
    <s v="Wholesale"/>
    <s v="Rivers State"/>
    <s v="Port Harcourt"/>
    <x v="4"/>
    <x v="1"/>
    <s v="Cash"/>
    <x v="2"/>
    <s v="Groceries"/>
    <n v="1"/>
    <n v="18500"/>
    <n v="14500"/>
    <n v="0.15"/>
    <x v="3"/>
    <s v="Pending"/>
    <n v="18500"/>
    <x v="218"/>
    <n v="14500"/>
    <n v="1225"/>
    <m/>
  </r>
  <r>
    <s v="NG20250278"/>
    <x v="108"/>
    <s v="Retail"/>
    <s v="Ogun State"/>
    <s v="Abeokuta"/>
    <x v="0"/>
    <x v="2"/>
    <s v="Debit Card"/>
    <x v="3"/>
    <s v="Electronics"/>
    <n v="6"/>
    <n v="280000"/>
    <n v="220500"/>
    <n v="0"/>
    <x v="3"/>
    <s v="Delivered"/>
    <n v="1680000"/>
    <x v="219"/>
    <n v="1323000"/>
    <n v="357000"/>
    <m/>
  </r>
  <r>
    <s v="NG20250279"/>
    <x v="197"/>
    <s v="Corporate"/>
    <s v="Enugu State"/>
    <s v="Enugu"/>
    <x v="2"/>
    <x v="2"/>
    <s v="Mobile Money"/>
    <x v="11"/>
    <s v="Electronics"/>
    <n v="4"/>
    <n v="168000"/>
    <n v="115000"/>
    <n v="0.15"/>
    <x v="5"/>
    <s v="Returned"/>
    <n v="672000"/>
    <x v="220"/>
    <n v="460000"/>
    <n v="111200"/>
    <m/>
  </r>
  <r>
    <s v="NG20250280"/>
    <x v="198"/>
    <s v="Retail"/>
    <s v="Kano State"/>
    <s v="Kano"/>
    <x v="3"/>
    <x v="1"/>
    <s v="Mobile Money"/>
    <x v="9"/>
    <s v="Fashion"/>
    <n v="2"/>
    <n v="37800"/>
    <n v="26000"/>
    <n v="0.05"/>
    <x v="3"/>
    <s v="Delivered"/>
    <n v="75600"/>
    <x v="221"/>
    <n v="52000"/>
    <n v="19820"/>
    <m/>
  </r>
  <r>
    <s v="NG20250281"/>
    <x v="41"/>
    <s v="Corporate"/>
    <s v="Lagos State"/>
    <s v="Lagos"/>
    <x v="0"/>
    <x v="2"/>
    <s v="USSD"/>
    <x v="7"/>
    <s v="Groceries"/>
    <n v="15"/>
    <n v="95000"/>
    <n v="82000"/>
    <n v="0.05"/>
    <x v="3"/>
    <s v="Pending"/>
    <n v="1425000"/>
    <x v="222"/>
    <n v="1230000"/>
    <n v="123750"/>
    <m/>
  </r>
  <r>
    <s v="NG20250282"/>
    <x v="199"/>
    <s v="Wholesale"/>
    <s v="Anambra State"/>
    <s v="Onitsha"/>
    <x v="2"/>
    <x v="3"/>
    <s v="Mobile Money"/>
    <x v="1"/>
    <s v="Electronics"/>
    <n v="1"/>
    <n v="450000"/>
    <n v="350000"/>
    <n v="0"/>
    <x v="0"/>
    <s v="Pending"/>
    <n v="450000"/>
    <x v="223"/>
    <n v="350000"/>
    <n v="100000"/>
    <m/>
  </r>
  <r>
    <s v="NG20250283"/>
    <x v="200"/>
    <s v="Retail"/>
    <s v="Edo State"/>
    <s v="Benin City"/>
    <x v="4"/>
    <x v="2"/>
    <s v="Cash"/>
    <x v="4"/>
    <s v="Home Appliances"/>
    <n v="3"/>
    <n v="50400"/>
    <n v="30000"/>
    <n v="0"/>
    <x v="2"/>
    <s v="Delivered"/>
    <n v="151200"/>
    <x v="224"/>
    <n v="90000"/>
    <n v="61200"/>
    <m/>
  </r>
  <r>
    <s v="NG20250284"/>
    <x v="201"/>
    <s v="Wholesale"/>
    <s v="Anambra State"/>
    <s v="Onitsha"/>
    <x v="2"/>
    <x v="2"/>
    <s v="Bank Transfer"/>
    <x v="4"/>
    <s v="Home Appliances"/>
    <n v="4"/>
    <n v="52800"/>
    <n v="28500"/>
    <n v="0"/>
    <x v="5"/>
    <s v="Pending"/>
    <n v="211200"/>
    <x v="225"/>
    <n v="114000"/>
    <n v="97200"/>
    <m/>
  </r>
  <r>
    <s v="NG20250285"/>
    <x v="105"/>
    <s v="Wholesale"/>
    <s v="Kano State"/>
    <s v="Kano"/>
    <x v="3"/>
    <x v="2"/>
    <s v="Bank Transfer"/>
    <x v="3"/>
    <s v="Electronics"/>
    <n v="1"/>
    <n v="280000"/>
    <n v="199500"/>
    <n v="0"/>
    <x v="7"/>
    <s v="Returned"/>
    <n v="280000"/>
    <x v="226"/>
    <n v="199500"/>
    <n v="80500"/>
    <m/>
  </r>
  <r>
    <s v="NG20250286"/>
    <x v="202"/>
    <s v="Wholesale"/>
    <s v="Ogun State"/>
    <s v="Abeokuta"/>
    <x v="0"/>
    <x v="3"/>
    <s v="Cash"/>
    <x v="9"/>
    <s v="Fashion"/>
    <n v="5"/>
    <n v="39900"/>
    <n v="27300"/>
    <n v="0"/>
    <x v="2"/>
    <s v="Cancelled"/>
    <n v="199500"/>
    <x v="227"/>
    <n v="136500"/>
    <n v="63000"/>
    <m/>
  </r>
  <r>
    <s v="NG20250287"/>
    <x v="203"/>
    <s v="Corporate"/>
    <s v="Edo State"/>
    <s v="Benin City"/>
    <x v="4"/>
    <x v="0"/>
    <s v="Debit Card"/>
    <x v="6"/>
    <s v="Electronics"/>
    <n v="6"/>
    <n v="180000"/>
    <n v="123500"/>
    <n v="0"/>
    <x v="3"/>
    <s v="Pending"/>
    <n v="1080000"/>
    <x v="65"/>
    <n v="741000"/>
    <n v="339000"/>
    <m/>
  </r>
  <r>
    <s v="NG20250288"/>
    <x v="80"/>
    <s v="Retail"/>
    <s v="Kaduna State"/>
    <s v="Kaduna"/>
    <x v="3"/>
    <x v="3"/>
    <s v="Bank Transfer"/>
    <x v="8"/>
    <s v="Home Appliances"/>
    <n v="3"/>
    <n v="112500"/>
    <n v="89250"/>
    <n v="0.1"/>
    <x v="3"/>
    <s v="Delivered"/>
    <n v="337500"/>
    <x v="228"/>
    <n v="267750"/>
    <n v="36000"/>
    <m/>
  </r>
  <r>
    <s v="NG20250289"/>
    <x v="204"/>
    <s v="Corporate"/>
    <s v="Edo State"/>
    <s v="Benin City"/>
    <x v="4"/>
    <x v="1"/>
    <s v="Cash"/>
    <x v="11"/>
    <s v="Electronics"/>
    <n v="3"/>
    <n v="144000"/>
    <n v="109250"/>
    <n v="0"/>
    <x v="6"/>
    <s v="Pending"/>
    <n v="432000"/>
    <x v="229"/>
    <n v="327750"/>
    <n v="104250"/>
    <m/>
  </r>
  <r>
    <s v="NG20250290"/>
    <x v="76"/>
    <s v="Corporate"/>
    <s v="Enugu State"/>
    <s v="Enugu"/>
    <x v="2"/>
    <x v="3"/>
    <s v="Debit Card"/>
    <x v="1"/>
    <s v="Electronics"/>
    <n v="6"/>
    <n v="472500"/>
    <n v="367500"/>
    <n v="0"/>
    <x v="3"/>
    <s v="Delivered"/>
    <n v="2835000"/>
    <x v="230"/>
    <n v="2205000"/>
    <n v="630000"/>
    <m/>
  </r>
  <r>
    <s v="NG20250291"/>
    <x v="205"/>
    <s v="Retail"/>
    <s v="Plateau State"/>
    <s v="Jos"/>
    <x v="1"/>
    <x v="1"/>
    <s v="Bank Transfer"/>
    <x v="2"/>
    <s v="Groceries"/>
    <n v="1"/>
    <n v="19425"/>
    <n v="13775"/>
    <n v="0"/>
    <x v="1"/>
    <s v="Cancelled"/>
    <n v="19425"/>
    <x v="231"/>
    <n v="13775"/>
    <n v="5650"/>
    <m/>
  </r>
  <r>
    <s v="NG20250292"/>
    <x v="206"/>
    <s v="Corporate"/>
    <s v="Nasarawa State"/>
    <s v="Mararaba"/>
    <x v="1"/>
    <x v="3"/>
    <s v="Mobile Money"/>
    <x v="5"/>
    <s v="Furniture"/>
    <n v="2"/>
    <n v="95000"/>
    <n v="65100"/>
    <n v="0"/>
    <x v="5"/>
    <s v="Delivered"/>
    <n v="190000"/>
    <x v="8"/>
    <n v="130200"/>
    <n v="59800"/>
    <m/>
  </r>
  <r>
    <s v="NG20250293"/>
    <x v="207"/>
    <s v="Retail"/>
    <s v="Plateau State"/>
    <s v="Jos"/>
    <x v="1"/>
    <x v="0"/>
    <s v="USSD"/>
    <x v="8"/>
    <s v="Home Appliances"/>
    <n v="4"/>
    <n v="125000"/>
    <n v="85000"/>
    <n v="0.15"/>
    <x v="7"/>
    <s v="Delivered"/>
    <n v="500000"/>
    <x v="232"/>
    <n v="340000"/>
    <n v="85000"/>
    <m/>
  </r>
  <r>
    <s v="NG20250294"/>
    <x v="208"/>
    <s v="Corporate"/>
    <s v="Enugu State"/>
    <s v="Enugu"/>
    <x v="2"/>
    <x v="3"/>
    <s v="Bank Transfer"/>
    <x v="11"/>
    <s v="Electronics"/>
    <n v="2"/>
    <n v="176000"/>
    <n v="109250"/>
    <n v="0"/>
    <x v="5"/>
    <s v="Returned"/>
    <n v="352000"/>
    <x v="233"/>
    <n v="218500"/>
    <n v="133500"/>
    <m/>
  </r>
  <r>
    <s v="NG20250295"/>
    <x v="58"/>
    <s v="Retail"/>
    <s v="FCT"/>
    <s v="Abuja"/>
    <x v="1"/>
    <x v="2"/>
    <s v="Mobile Money"/>
    <x v="7"/>
    <s v="Groceries"/>
    <n v="3"/>
    <n v="85500"/>
    <n v="82000"/>
    <n v="0.15"/>
    <x v="0"/>
    <s v="Delivered"/>
    <n v="256500"/>
    <x v="234"/>
    <n v="246000"/>
    <n v="-27975"/>
    <m/>
  </r>
  <r>
    <s v="NG20250296"/>
    <x v="99"/>
    <s v="Retail"/>
    <s v="Plateau State"/>
    <s v="Jos"/>
    <x v="1"/>
    <x v="1"/>
    <s v="Bank Transfer"/>
    <x v="9"/>
    <s v="Fashion"/>
    <n v="3"/>
    <n v="44100"/>
    <n v="24700"/>
    <n v="0.1"/>
    <x v="7"/>
    <s v="Cancelled"/>
    <n v="132300"/>
    <x v="235"/>
    <n v="74100"/>
    <n v="44970"/>
    <m/>
  </r>
  <r>
    <s v="NG20250297"/>
    <x v="175"/>
    <s v="Wholesale"/>
    <s v="Rivers State"/>
    <s v="Port Harcourt"/>
    <x v="4"/>
    <x v="3"/>
    <s v="Debit Card"/>
    <x v="4"/>
    <s v="Home Appliances"/>
    <n v="12"/>
    <n v="45600"/>
    <n v="30000"/>
    <n v="0"/>
    <x v="1"/>
    <s v="Pending"/>
    <n v="547200"/>
    <x v="236"/>
    <n v="360000"/>
    <n v="187200"/>
    <m/>
  </r>
  <r>
    <s v="NG20250298"/>
    <x v="209"/>
    <s v="Retail"/>
    <s v="FCT"/>
    <s v="Abuja"/>
    <x v="1"/>
    <x v="2"/>
    <s v="USSD"/>
    <x v="5"/>
    <s v="Furniture"/>
    <n v="1"/>
    <n v="90250"/>
    <n v="62000"/>
    <n v="0.1"/>
    <x v="1"/>
    <s v="Delivered"/>
    <n v="90250"/>
    <x v="67"/>
    <n v="62000"/>
    <n v="19225"/>
    <m/>
  </r>
  <r>
    <s v="NG20250299"/>
    <x v="210"/>
    <s v="Corporate"/>
    <s v="Kano State"/>
    <s v="Kano"/>
    <x v="3"/>
    <x v="0"/>
    <s v="Bank Transfer"/>
    <x v="10"/>
    <s v="Furniture"/>
    <n v="1"/>
    <n v="175000"/>
    <n v="120000"/>
    <n v="0.05"/>
    <x v="6"/>
    <s v="Pending"/>
    <n v="175000"/>
    <x v="237"/>
    <n v="120000"/>
    <n v="46250"/>
    <m/>
  </r>
  <r>
    <s v="NG20250300"/>
    <x v="86"/>
    <s v="Retail"/>
    <s v="Nasarawa State"/>
    <s v="Mararaba"/>
    <x v="1"/>
    <x v="2"/>
    <s v="Debit Card"/>
    <x v="0"/>
    <s v="Fashion"/>
    <n v="8"/>
    <n v="23100"/>
    <n v="12350"/>
    <n v="0"/>
    <x v="0"/>
    <s v="Delivered"/>
    <n v="184800"/>
    <x v="238"/>
    <n v="98800"/>
    <n v="86000"/>
    <m/>
  </r>
  <r>
    <s v="NG20250301"/>
    <x v="211"/>
    <s v="Wholesale"/>
    <s v="Lagos State"/>
    <s v="Lagos"/>
    <x v="0"/>
    <x v="2"/>
    <s v="Bank Transfer"/>
    <x v="7"/>
    <s v="Groceries"/>
    <n v="5"/>
    <n v="95000"/>
    <n v="82000"/>
    <n v="0"/>
    <x v="1"/>
    <s v="Pending"/>
    <n v="475000"/>
    <x v="239"/>
    <n v="410000"/>
    <n v="65000"/>
    <m/>
  </r>
  <r>
    <s v="NG20250302"/>
    <x v="1"/>
    <s v="Corporate"/>
    <s v="Ogun State"/>
    <s v="Abeokuta"/>
    <x v="0"/>
    <x v="0"/>
    <s v="Mobile Money"/>
    <x v="3"/>
    <s v="Electronics"/>
    <n v="1"/>
    <n v="252000"/>
    <n v="210000"/>
    <n v="0"/>
    <x v="4"/>
    <s v="Pending"/>
    <n v="252000"/>
    <x v="240"/>
    <n v="210000"/>
    <n v="42000"/>
    <m/>
  </r>
  <r>
    <s v="NG20250303"/>
    <x v="100"/>
    <s v="Retail"/>
    <s v="Lagos State"/>
    <s v="Lagos"/>
    <x v="0"/>
    <x v="0"/>
    <s v="USSD"/>
    <x v="3"/>
    <s v="Electronics"/>
    <n v="15"/>
    <n v="266000"/>
    <n v="220500"/>
    <n v="0"/>
    <x v="7"/>
    <s v="Delivered"/>
    <n v="3990000"/>
    <x v="241"/>
    <n v="3307500"/>
    <n v="682500"/>
    <m/>
  </r>
  <r>
    <s v="NG20250304"/>
    <x v="212"/>
    <s v="Wholesale"/>
    <s v="Anambra State"/>
    <s v="Onitsha"/>
    <x v="2"/>
    <x v="1"/>
    <s v="Cash"/>
    <x v="6"/>
    <s v="Electronics"/>
    <n v="3"/>
    <n v="189000"/>
    <n v="136500"/>
    <n v="0.05"/>
    <x v="2"/>
    <s v="Pending"/>
    <n v="567000"/>
    <x v="154"/>
    <n v="409500"/>
    <n v="129150"/>
    <m/>
  </r>
  <r>
    <s v="NG20250305"/>
    <x v="213"/>
    <s v="Wholesale"/>
    <s v="Ogun State"/>
    <s v="Abeokuta"/>
    <x v="0"/>
    <x v="2"/>
    <s v="Debit Card"/>
    <x v="11"/>
    <s v="Electronics"/>
    <n v="2"/>
    <n v="160000"/>
    <n v="115000"/>
    <n v="0"/>
    <x v="1"/>
    <s v="Cancelled"/>
    <n v="320000"/>
    <x v="242"/>
    <n v="230000"/>
    <n v="90000"/>
    <m/>
  </r>
  <r>
    <s v="NG20250306"/>
    <x v="149"/>
    <s v="Retail"/>
    <s v="Enugu State"/>
    <s v="Enugu"/>
    <x v="2"/>
    <x v="2"/>
    <s v="Mobile Money"/>
    <x v="4"/>
    <s v="Home Appliances"/>
    <n v="3"/>
    <n v="43200"/>
    <n v="30000"/>
    <n v="0.05"/>
    <x v="7"/>
    <s v="Delivered"/>
    <n v="129600"/>
    <x v="243"/>
    <n v="90000"/>
    <n v="33120"/>
    <m/>
  </r>
  <r>
    <s v="NG20250307"/>
    <x v="190"/>
    <s v="Corporate"/>
    <s v="Edo State"/>
    <s v="Benin City"/>
    <x v="4"/>
    <x v="1"/>
    <s v="Debit Card"/>
    <x v="4"/>
    <s v="Home Appliances"/>
    <n v="2"/>
    <n v="48000"/>
    <n v="31500"/>
    <n v="0"/>
    <x v="6"/>
    <s v="Cancelled"/>
    <n v="96000"/>
    <x v="71"/>
    <n v="63000"/>
    <n v="33000"/>
    <m/>
  </r>
  <r>
    <s v="NG20250308"/>
    <x v="165"/>
    <s v="Corporate"/>
    <s v="Plateau State"/>
    <s v="Jos"/>
    <x v="1"/>
    <x v="2"/>
    <s v="Cash"/>
    <x v="1"/>
    <s v="Electronics"/>
    <n v="4"/>
    <n v="405000"/>
    <n v="350000"/>
    <n v="0"/>
    <x v="3"/>
    <s v="Cancelled"/>
    <n v="1620000"/>
    <x v="106"/>
    <n v="1400000"/>
    <n v="220000"/>
    <m/>
  </r>
  <r>
    <s v="NG20250309"/>
    <x v="141"/>
    <s v="Corporate"/>
    <s v="Rivers State"/>
    <s v="Port Harcourt"/>
    <x v="4"/>
    <x v="2"/>
    <s v="Cash"/>
    <x v="11"/>
    <s v="Electronics"/>
    <n v="2"/>
    <n v="160000"/>
    <n v="109250"/>
    <n v="0"/>
    <x v="5"/>
    <s v="Pending"/>
    <n v="320000"/>
    <x v="242"/>
    <n v="218500"/>
    <n v="101500"/>
    <m/>
  </r>
  <r>
    <s v="NG20250310"/>
    <x v="214"/>
    <s v="Wholesale"/>
    <s v="Plateau State"/>
    <s v="Jos"/>
    <x v="1"/>
    <x v="3"/>
    <s v="Mobile Money"/>
    <x v="2"/>
    <s v="Groceries"/>
    <n v="6"/>
    <n v="19425"/>
    <n v="14500"/>
    <n v="0.1"/>
    <x v="6"/>
    <s v="Returned"/>
    <n v="116550"/>
    <x v="244"/>
    <n v="87000"/>
    <n v="17895"/>
    <m/>
  </r>
  <r>
    <s v="NG20250311"/>
    <x v="119"/>
    <s v="Corporate"/>
    <s v="FCT"/>
    <s v="Abuja"/>
    <x v="1"/>
    <x v="0"/>
    <s v="Bank Transfer"/>
    <x v="2"/>
    <s v="Groceries"/>
    <n v="8"/>
    <n v="20350"/>
    <n v="15225"/>
    <n v="0.1"/>
    <x v="7"/>
    <s v="Delivered"/>
    <n v="162800"/>
    <x v="245"/>
    <n v="121800"/>
    <n v="24720"/>
    <m/>
  </r>
  <r>
    <s v="NG20250312"/>
    <x v="215"/>
    <s v="Retail"/>
    <s v="Anambra State"/>
    <s v="Onitsha"/>
    <x v="2"/>
    <x v="2"/>
    <s v="Debit Card"/>
    <x v="11"/>
    <s v="Electronics"/>
    <n v="2"/>
    <n v="160000"/>
    <n v="120750"/>
    <n v="0"/>
    <x v="6"/>
    <s v="Cancelled"/>
    <n v="320000"/>
    <x v="242"/>
    <n v="241500"/>
    <n v="78500"/>
    <m/>
  </r>
  <r>
    <s v="NG20250313"/>
    <x v="216"/>
    <s v="Retail"/>
    <s v="Lagos State"/>
    <s v="Lagos"/>
    <x v="0"/>
    <x v="3"/>
    <s v="USSD"/>
    <x v="10"/>
    <s v="Furniture"/>
    <n v="1"/>
    <n v="175000"/>
    <n v="120000"/>
    <n v="0"/>
    <x v="3"/>
    <s v="Delivered"/>
    <n v="175000"/>
    <x v="194"/>
    <n v="120000"/>
    <n v="55000"/>
    <m/>
  </r>
  <r>
    <s v="NG20250314"/>
    <x v="217"/>
    <s v="Corporate"/>
    <s v="Nasarawa State"/>
    <s v="Mararaba"/>
    <x v="1"/>
    <x v="2"/>
    <s v="Mobile Money"/>
    <x v="10"/>
    <s v="Furniture"/>
    <n v="2"/>
    <n v="166250"/>
    <n v="126000"/>
    <n v="0.15"/>
    <x v="2"/>
    <s v="Returned"/>
    <n v="332500"/>
    <x v="246"/>
    <n v="252000"/>
    <n v="30625"/>
    <m/>
  </r>
  <r>
    <s v="NG20250315"/>
    <x v="218"/>
    <s v="Retail"/>
    <s v="Rivers State"/>
    <s v="Port Harcourt"/>
    <x v="4"/>
    <x v="2"/>
    <s v="Bank Transfer"/>
    <x v="11"/>
    <s v="Electronics"/>
    <n v="4"/>
    <n v="152000"/>
    <n v="120750"/>
    <n v="0"/>
    <x v="0"/>
    <s v="Delivered"/>
    <n v="608000"/>
    <x v="247"/>
    <n v="483000"/>
    <n v="125000"/>
    <m/>
  </r>
  <r>
    <s v="NG20250316"/>
    <x v="190"/>
    <s v="Corporate"/>
    <s v="Lagos State"/>
    <s v="Lagos"/>
    <x v="0"/>
    <x v="2"/>
    <s v="Debit Card"/>
    <x v="2"/>
    <s v="Groceries"/>
    <n v="2"/>
    <n v="18500"/>
    <n v="14500"/>
    <n v="0.15"/>
    <x v="3"/>
    <s v="Delivered"/>
    <n v="37000"/>
    <x v="248"/>
    <n v="29000"/>
    <n v="2450"/>
    <m/>
  </r>
  <r>
    <s v="NG20250317"/>
    <x v="26"/>
    <s v="Wholesale"/>
    <s v="Plateau State"/>
    <s v="Jos"/>
    <x v="1"/>
    <x v="3"/>
    <s v="USSD"/>
    <x v="11"/>
    <s v="Electronics"/>
    <n v="15"/>
    <n v="152000"/>
    <n v="109250"/>
    <n v="0.15"/>
    <x v="7"/>
    <s v="Returned"/>
    <n v="2280000"/>
    <x v="249"/>
    <n v="1638750"/>
    <n v="299250"/>
    <m/>
  </r>
  <r>
    <s v="NG20250318"/>
    <x v="209"/>
    <s v="Retail"/>
    <s v="FCT"/>
    <s v="Abuja"/>
    <x v="1"/>
    <x v="0"/>
    <s v="USSD"/>
    <x v="5"/>
    <s v="Furniture"/>
    <n v="2"/>
    <n v="85500"/>
    <n v="62000"/>
    <n v="0"/>
    <x v="1"/>
    <s v="Returned"/>
    <n v="171000"/>
    <x v="155"/>
    <n v="124000"/>
    <n v="47000"/>
    <m/>
  </r>
  <r>
    <s v="NG20250319"/>
    <x v="103"/>
    <s v="Corporate"/>
    <s v="Kano State"/>
    <s v="Kano"/>
    <x v="3"/>
    <x v="0"/>
    <s v="USSD"/>
    <x v="9"/>
    <s v="Fashion"/>
    <n v="12"/>
    <n v="42000"/>
    <n v="27300"/>
    <n v="0.05"/>
    <x v="5"/>
    <s v="Cancelled"/>
    <n v="504000"/>
    <x v="56"/>
    <n v="327600"/>
    <n v="151200"/>
    <m/>
  </r>
  <r>
    <s v="NG20250320"/>
    <x v="219"/>
    <s v="Corporate"/>
    <s v="Kaduna State"/>
    <s v="Kaduna"/>
    <x v="3"/>
    <x v="0"/>
    <s v="Bank Transfer"/>
    <x v="6"/>
    <s v="Electronics"/>
    <n v="1"/>
    <n v="198000"/>
    <n v="123500"/>
    <n v="0"/>
    <x v="2"/>
    <s v="Delivered"/>
    <n v="198000"/>
    <x v="250"/>
    <n v="123500"/>
    <n v="74500"/>
    <m/>
  </r>
  <r>
    <s v="NG20250321"/>
    <x v="220"/>
    <s v="Corporate"/>
    <s v="Kano State"/>
    <s v="Kano"/>
    <x v="3"/>
    <x v="0"/>
    <s v="USSD"/>
    <x v="6"/>
    <s v="Electronics"/>
    <n v="1"/>
    <n v="162000"/>
    <n v="123500"/>
    <n v="0"/>
    <x v="6"/>
    <s v="Cancelled"/>
    <n v="162000"/>
    <x v="251"/>
    <n v="123500"/>
    <n v="38500"/>
    <m/>
  </r>
  <r>
    <s v="NG20250322"/>
    <x v="221"/>
    <s v="Wholesale"/>
    <s v="Kano State"/>
    <s v="Kano"/>
    <x v="3"/>
    <x v="3"/>
    <s v="Debit Card"/>
    <x v="2"/>
    <s v="Groceries"/>
    <n v="1"/>
    <n v="16650"/>
    <n v="14500"/>
    <n v="0"/>
    <x v="4"/>
    <s v="Pending"/>
    <n v="16650"/>
    <x v="252"/>
    <n v="14500"/>
    <n v="2150"/>
    <m/>
  </r>
  <r>
    <s v="NG20250323"/>
    <x v="222"/>
    <s v="Retail"/>
    <s v="Oyo State"/>
    <s v="Ibadan"/>
    <x v="0"/>
    <x v="1"/>
    <s v="Bank Transfer"/>
    <x v="11"/>
    <s v="Electronics"/>
    <n v="1"/>
    <n v="160000"/>
    <n v="120750"/>
    <n v="0"/>
    <x v="4"/>
    <s v="Delivered"/>
    <n v="160000"/>
    <x v="253"/>
    <n v="120750"/>
    <n v="39250"/>
    <m/>
  </r>
  <r>
    <s v="NG20250324"/>
    <x v="223"/>
    <s v="Wholesale"/>
    <s v="Rivers State"/>
    <s v="Port Harcourt"/>
    <x v="4"/>
    <x v="3"/>
    <s v="Bank Transfer"/>
    <x v="0"/>
    <s v="Fashion"/>
    <n v="4"/>
    <n v="20900"/>
    <n v="12350"/>
    <n v="0"/>
    <x v="1"/>
    <s v="Delivered"/>
    <n v="83600"/>
    <x v="254"/>
    <n v="49400"/>
    <n v="34200"/>
    <m/>
  </r>
  <r>
    <s v="NG20250325"/>
    <x v="3"/>
    <s v="Wholesale"/>
    <s v="Nasarawa State"/>
    <s v="Mararaba"/>
    <x v="1"/>
    <x v="1"/>
    <s v="Cash"/>
    <x v="3"/>
    <s v="Electronics"/>
    <n v="6"/>
    <n v="280000"/>
    <n v="220500"/>
    <n v="0.15"/>
    <x v="2"/>
    <s v="Delivered"/>
    <n v="1680000"/>
    <x v="255"/>
    <n v="1323000"/>
    <n v="105000"/>
    <m/>
  </r>
  <r>
    <s v="NG20250326"/>
    <x v="224"/>
    <s v="Retail"/>
    <s v="Plateau State"/>
    <s v="Jos"/>
    <x v="1"/>
    <x v="3"/>
    <s v="Mobile Money"/>
    <x v="4"/>
    <s v="Home Appliances"/>
    <n v="2"/>
    <n v="43200"/>
    <n v="30000"/>
    <n v="0.05"/>
    <x v="7"/>
    <s v="Delivered"/>
    <n v="86400"/>
    <x v="256"/>
    <n v="60000"/>
    <n v="22080"/>
    <m/>
  </r>
  <r>
    <s v="NG20250327"/>
    <x v="34"/>
    <s v="Retail"/>
    <s v="Edo State"/>
    <s v="Benin City"/>
    <x v="4"/>
    <x v="0"/>
    <s v="USSD"/>
    <x v="6"/>
    <s v="Electronics"/>
    <n v="5"/>
    <n v="162000"/>
    <n v="130000"/>
    <n v="0.1"/>
    <x v="0"/>
    <s v="Cancelled"/>
    <n v="810000"/>
    <x v="257"/>
    <n v="650000"/>
    <n v="79000"/>
    <m/>
  </r>
  <r>
    <s v="NG20250328"/>
    <x v="169"/>
    <s v="Corporate"/>
    <s v="Rivers State"/>
    <s v="Port Harcourt"/>
    <x v="4"/>
    <x v="0"/>
    <s v="Mobile Money"/>
    <x v="7"/>
    <s v="Groceries"/>
    <n v="8"/>
    <n v="95000"/>
    <n v="82000"/>
    <n v="0.05"/>
    <x v="6"/>
    <s v="Delivered"/>
    <n v="760000"/>
    <x v="258"/>
    <n v="656000"/>
    <n v="66000"/>
    <m/>
  </r>
  <r>
    <s v="NG20250329"/>
    <x v="225"/>
    <s v="Corporate"/>
    <s v="Kaduna State"/>
    <s v="Kaduna"/>
    <x v="3"/>
    <x v="0"/>
    <s v="USSD"/>
    <x v="3"/>
    <s v="Electronics"/>
    <n v="1"/>
    <n v="266000"/>
    <n v="210000"/>
    <n v="0"/>
    <x v="5"/>
    <s v="Delivered"/>
    <n v="266000"/>
    <x v="44"/>
    <n v="210000"/>
    <n v="56000"/>
    <m/>
  </r>
  <r>
    <s v="NG20250330"/>
    <x v="24"/>
    <s v="Corporate"/>
    <s v="Ogun State"/>
    <s v="Abeokuta"/>
    <x v="0"/>
    <x v="1"/>
    <s v="Mobile Money"/>
    <x v="0"/>
    <s v="Fashion"/>
    <n v="8"/>
    <n v="22000"/>
    <n v="13000"/>
    <n v="0.15"/>
    <x v="2"/>
    <s v="Delivered"/>
    <n v="176000"/>
    <x v="259"/>
    <n v="104000"/>
    <n v="45600"/>
    <m/>
  </r>
  <r>
    <s v="NG20250331"/>
    <x v="79"/>
    <s v="Wholesale"/>
    <s v="Enugu State"/>
    <s v="Enugu"/>
    <x v="2"/>
    <x v="1"/>
    <s v="Bank Transfer"/>
    <x v="5"/>
    <s v="Furniture"/>
    <n v="3"/>
    <n v="104500"/>
    <n v="58900"/>
    <n v="0.15"/>
    <x v="0"/>
    <s v="Cancelled"/>
    <n v="313500"/>
    <x v="260"/>
    <n v="176700"/>
    <n v="89775"/>
    <m/>
  </r>
  <r>
    <s v="NG20250332"/>
    <x v="226"/>
    <s v="Corporate"/>
    <s v="Ogun State"/>
    <s v="Abeokuta"/>
    <x v="0"/>
    <x v="3"/>
    <s v="USSD"/>
    <x v="6"/>
    <s v="Electronics"/>
    <n v="4"/>
    <n v="180000"/>
    <n v="123500"/>
    <n v="0"/>
    <x v="4"/>
    <s v="Delivered"/>
    <n v="720000"/>
    <x v="41"/>
    <n v="494000"/>
    <n v="226000"/>
    <m/>
  </r>
  <r>
    <s v="NG20250333"/>
    <x v="152"/>
    <s v="Corporate"/>
    <s v="Rivers State"/>
    <s v="Port Harcourt"/>
    <x v="4"/>
    <x v="2"/>
    <s v="Mobile Money"/>
    <x v="4"/>
    <s v="Home Appliances"/>
    <n v="3"/>
    <n v="48000"/>
    <n v="31500"/>
    <n v="0"/>
    <x v="0"/>
    <s v="Delivered"/>
    <n v="144000"/>
    <x v="127"/>
    <n v="94500"/>
    <n v="49500"/>
    <m/>
  </r>
  <r>
    <s v="NG20250334"/>
    <x v="227"/>
    <s v="Corporate"/>
    <s v="Kano State"/>
    <s v="Kano"/>
    <x v="3"/>
    <x v="0"/>
    <s v="Debit Card"/>
    <x v="1"/>
    <s v="Electronics"/>
    <n v="10"/>
    <n v="450000"/>
    <n v="350000"/>
    <n v="0"/>
    <x v="4"/>
    <s v="Delivered"/>
    <n v="4500000"/>
    <x v="261"/>
    <n v="3500000"/>
    <n v="1000000"/>
    <m/>
  </r>
  <r>
    <s v="NG20250335"/>
    <x v="188"/>
    <s v="Wholesale"/>
    <s v="Nasarawa State"/>
    <s v="Mararaba"/>
    <x v="1"/>
    <x v="1"/>
    <s v="Debit Card"/>
    <x v="5"/>
    <s v="Furniture"/>
    <n v="8"/>
    <n v="104500"/>
    <n v="58900"/>
    <n v="0"/>
    <x v="4"/>
    <s v="Delivered"/>
    <n v="836000"/>
    <x v="262"/>
    <n v="471200"/>
    <n v="364800"/>
    <m/>
  </r>
  <r>
    <s v="NG20250336"/>
    <x v="228"/>
    <s v="Wholesale"/>
    <s v="Kano State"/>
    <s v="Kano"/>
    <x v="3"/>
    <x v="1"/>
    <s v="Mobile Money"/>
    <x v="9"/>
    <s v="Fashion"/>
    <n v="4"/>
    <n v="37800"/>
    <n v="26000"/>
    <n v="0.05"/>
    <x v="2"/>
    <s v="Pending"/>
    <n v="151200"/>
    <x v="263"/>
    <n v="104000"/>
    <n v="39640"/>
    <m/>
  </r>
  <r>
    <s v="NG20250337"/>
    <x v="229"/>
    <s v="Retail"/>
    <s v="Enugu State"/>
    <s v="Enugu"/>
    <x v="2"/>
    <x v="0"/>
    <s v="Cash"/>
    <x v="1"/>
    <s v="Electronics"/>
    <n v="6"/>
    <n v="405000"/>
    <n v="350000"/>
    <n v="0.15"/>
    <x v="5"/>
    <s v="Pending"/>
    <n v="2430000"/>
    <x v="264"/>
    <n v="2100000"/>
    <n v="-34500"/>
    <m/>
  </r>
  <r>
    <s v="NG20250338"/>
    <x v="28"/>
    <s v="Corporate"/>
    <s v="Lagos State"/>
    <s v="Lagos"/>
    <x v="0"/>
    <x v="3"/>
    <s v="USSD"/>
    <x v="11"/>
    <s v="Electronics"/>
    <n v="2"/>
    <n v="160000"/>
    <n v="109250"/>
    <n v="0"/>
    <x v="0"/>
    <s v="Delivered"/>
    <n v="320000"/>
    <x v="242"/>
    <n v="218500"/>
    <n v="101500"/>
    <m/>
  </r>
  <r>
    <s v="NG20250339"/>
    <x v="220"/>
    <s v="Retail"/>
    <s v="Oyo State"/>
    <s v="Ibadan"/>
    <x v="0"/>
    <x v="1"/>
    <s v="Mobile Money"/>
    <x v="0"/>
    <s v="Fashion"/>
    <n v="5"/>
    <n v="20900"/>
    <n v="13000"/>
    <n v="0.05"/>
    <x v="2"/>
    <s v="Pending"/>
    <n v="104500"/>
    <x v="77"/>
    <n v="65000"/>
    <n v="34275"/>
    <m/>
  </r>
  <r>
    <s v="NG20250340"/>
    <x v="214"/>
    <s v="Retail"/>
    <s v="Ogun State"/>
    <s v="Abeokuta"/>
    <x v="0"/>
    <x v="2"/>
    <s v="Mobile Money"/>
    <x v="10"/>
    <s v="Furniture"/>
    <n v="8"/>
    <n v="175000"/>
    <n v="114000"/>
    <n v="0"/>
    <x v="5"/>
    <s v="Pending"/>
    <n v="1400000"/>
    <x v="265"/>
    <n v="912000"/>
    <n v="488000"/>
    <m/>
  </r>
  <r>
    <s v="NG20250341"/>
    <x v="40"/>
    <s v="Retail"/>
    <s v="Rivers State"/>
    <s v="Port Harcourt"/>
    <x v="4"/>
    <x v="0"/>
    <s v="USSD"/>
    <x v="11"/>
    <s v="Electronics"/>
    <n v="2"/>
    <n v="152000"/>
    <n v="115000"/>
    <n v="0.15"/>
    <x v="6"/>
    <s v="Cancelled"/>
    <n v="304000"/>
    <x v="266"/>
    <n v="230000"/>
    <n v="28400"/>
    <m/>
  </r>
  <r>
    <s v="NG20250342"/>
    <x v="126"/>
    <s v="Wholesale"/>
    <s v="Ogun State"/>
    <s v="Abeokuta"/>
    <x v="0"/>
    <x v="3"/>
    <s v="USSD"/>
    <x v="0"/>
    <s v="Fashion"/>
    <n v="4"/>
    <n v="19800"/>
    <n v="13000"/>
    <n v="0"/>
    <x v="0"/>
    <s v="Delivered"/>
    <n v="79200"/>
    <x v="267"/>
    <n v="52000"/>
    <n v="27200"/>
    <m/>
  </r>
  <r>
    <s v="NG20250343"/>
    <x v="230"/>
    <s v="Corporate"/>
    <s v="Kaduna State"/>
    <s v="Kaduna"/>
    <x v="3"/>
    <x v="0"/>
    <s v="Bank Transfer"/>
    <x v="10"/>
    <s v="Furniture"/>
    <n v="2"/>
    <n v="175000"/>
    <n v="120000"/>
    <n v="0.15"/>
    <x v="2"/>
    <s v="Cancelled"/>
    <n v="350000"/>
    <x v="268"/>
    <n v="240000"/>
    <n v="57500"/>
    <m/>
  </r>
  <r>
    <s v="NG20250344"/>
    <x v="209"/>
    <s v="Retail"/>
    <s v="Rivers State"/>
    <s v="Port Harcourt"/>
    <x v="4"/>
    <x v="3"/>
    <s v="Debit Card"/>
    <x v="7"/>
    <s v="Groceries"/>
    <n v="4"/>
    <n v="95000"/>
    <n v="82000"/>
    <n v="0.15"/>
    <x v="2"/>
    <s v="Pending"/>
    <n v="380000"/>
    <x v="141"/>
    <n v="328000"/>
    <n v="-5000"/>
    <m/>
  </r>
  <r>
    <s v="NG20250345"/>
    <x v="231"/>
    <s v="Retail"/>
    <s v="Nasarawa State"/>
    <s v="Mararaba"/>
    <x v="1"/>
    <x v="0"/>
    <s v="Mobile Money"/>
    <x v="5"/>
    <s v="Furniture"/>
    <n v="5"/>
    <n v="99750"/>
    <n v="62000"/>
    <n v="0"/>
    <x v="0"/>
    <s v="Cancelled"/>
    <n v="498750"/>
    <x v="39"/>
    <n v="310000"/>
    <n v="188750"/>
    <m/>
  </r>
  <r>
    <s v="NG20250346"/>
    <x v="133"/>
    <s v="Corporate"/>
    <s v="Plateau State"/>
    <s v="Jos"/>
    <x v="1"/>
    <x v="1"/>
    <s v="USSD"/>
    <x v="0"/>
    <s v="Fashion"/>
    <n v="5"/>
    <n v="23100"/>
    <n v="12350"/>
    <n v="0.15"/>
    <x v="0"/>
    <s v="Delivered"/>
    <n v="115500"/>
    <x v="269"/>
    <n v="61750"/>
    <n v="36425"/>
    <m/>
  </r>
  <r>
    <s v="NG20250347"/>
    <x v="89"/>
    <s v="Wholesale"/>
    <s v="Lagos State"/>
    <s v="Lagos"/>
    <x v="0"/>
    <x v="1"/>
    <s v="Debit Card"/>
    <x v="9"/>
    <s v="Fashion"/>
    <n v="4"/>
    <n v="42000"/>
    <n v="26000"/>
    <n v="0"/>
    <x v="4"/>
    <s v="Returned"/>
    <n v="168000"/>
    <x v="102"/>
    <n v="104000"/>
    <n v="64000"/>
    <m/>
  </r>
  <r>
    <s v="NG20250348"/>
    <x v="165"/>
    <s v="Wholesale"/>
    <s v="Rivers State"/>
    <s v="Port Harcourt"/>
    <x v="4"/>
    <x v="3"/>
    <s v="Mobile Money"/>
    <x v="6"/>
    <s v="Electronics"/>
    <n v="8"/>
    <n v="171000"/>
    <n v="130000"/>
    <n v="0"/>
    <x v="6"/>
    <s v="Delivered"/>
    <n v="1368000"/>
    <x v="270"/>
    <n v="1040000"/>
    <n v="328000"/>
    <m/>
  </r>
  <r>
    <s v="NG20250349"/>
    <x v="210"/>
    <s v="Corporate"/>
    <s v="Plateau State"/>
    <s v="Jos"/>
    <x v="1"/>
    <x v="3"/>
    <s v="Debit Card"/>
    <x v="0"/>
    <s v="Fashion"/>
    <n v="5"/>
    <n v="20900"/>
    <n v="13000"/>
    <n v="0"/>
    <x v="4"/>
    <s v="Pending"/>
    <n v="104500"/>
    <x v="86"/>
    <n v="65000"/>
    <n v="39500"/>
    <m/>
  </r>
  <r>
    <s v="NG20250350"/>
    <x v="232"/>
    <s v="Retail"/>
    <s v="Oyo State"/>
    <s v="Ibadan"/>
    <x v="0"/>
    <x v="1"/>
    <s v="Mobile Money"/>
    <x v="8"/>
    <s v="Home Appliances"/>
    <n v="3"/>
    <n v="137500"/>
    <n v="80750"/>
    <n v="0.05"/>
    <x v="4"/>
    <s v="Cancelled"/>
    <n v="412500"/>
    <x v="271"/>
    <n v="242250"/>
    <n v="149625"/>
    <m/>
  </r>
  <r>
    <s v="NG20250351"/>
    <x v="233"/>
    <s v="Wholesale"/>
    <s v="Lagos State"/>
    <s v="Lagos"/>
    <x v="0"/>
    <x v="1"/>
    <s v="Cash"/>
    <x v="4"/>
    <s v="Home Appliances"/>
    <n v="8"/>
    <n v="45600"/>
    <n v="30000"/>
    <n v="0"/>
    <x v="2"/>
    <s v="Pending"/>
    <n v="364800"/>
    <x v="272"/>
    <n v="240000"/>
    <n v="124800"/>
    <m/>
  </r>
  <r>
    <s v="NG20250352"/>
    <x v="234"/>
    <s v="Wholesale"/>
    <s v="Ogun State"/>
    <s v="Abeokuta"/>
    <x v="0"/>
    <x v="0"/>
    <s v="Bank Transfer"/>
    <x v="9"/>
    <s v="Fashion"/>
    <n v="6"/>
    <n v="42000"/>
    <n v="26000"/>
    <n v="0.15"/>
    <x v="1"/>
    <s v="Delivered"/>
    <n v="252000"/>
    <x v="273"/>
    <n v="156000"/>
    <n v="58200"/>
    <m/>
  </r>
  <r>
    <s v="NG20250353"/>
    <x v="180"/>
    <s v="Wholesale"/>
    <s v="FCT"/>
    <s v="Abuja"/>
    <x v="1"/>
    <x v="1"/>
    <s v="USSD"/>
    <x v="5"/>
    <s v="Furniture"/>
    <n v="6"/>
    <n v="90250"/>
    <n v="62000"/>
    <n v="0.05"/>
    <x v="0"/>
    <s v="Delivered"/>
    <n v="541500"/>
    <x v="274"/>
    <n v="372000"/>
    <n v="142425"/>
    <m/>
  </r>
  <r>
    <s v="NG20250354"/>
    <x v="12"/>
    <s v="Corporate"/>
    <s v="Kaduna State"/>
    <s v="Kaduna"/>
    <x v="3"/>
    <x v="2"/>
    <s v="Bank Transfer"/>
    <x v="4"/>
    <s v="Home Appliances"/>
    <n v="3"/>
    <n v="43200"/>
    <n v="30000"/>
    <n v="0.15"/>
    <x v="7"/>
    <s v="Delivered"/>
    <n v="129600"/>
    <x v="275"/>
    <n v="90000"/>
    <n v="20160"/>
    <m/>
  </r>
  <r>
    <s v="NG20250355"/>
    <x v="235"/>
    <s v="Corporate"/>
    <s v="Edo State"/>
    <s v="Benin City"/>
    <x v="4"/>
    <x v="3"/>
    <s v="Cash"/>
    <x v="0"/>
    <s v="Fashion"/>
    <n v="2"/>
    <n v="23100"/>
    <n v="13000"/>
    <n v="0"/>
    <x v="3"/>
    <s v="Delivered"/>
    <n v="46200"/>
    <x v="276"/>
    <n v="26000"/>
    <n v="20200"/>
    <m/>
  </r>
  <r>
    <s v="NG20250356"/>
    <x v="236"/>
    <s v="Corporate"/>
    <s v="Nasarawa State"/>
    <s v="Mararaba"/>
    <x v="1"/>
    <x v="1"/>
    <s v="Debit Card"/>
    <x v="1"/>
    <s v="Electronics"/>
    <n v="12"/>
    <n v="450000"/>
    <n v="350000"/>
    <n v="0.05"/>
    <x v="5"/>
    <s v="Delivered"/>
    <n v="5400000"/>
    <x v="277"/>
    <n v="4200000"/>
    <n v="930000"/>
    <m/>
  </r>
  <r>
    <s v="NG20250357"/>
    <x v="164"/>
    <s v="Wholesale"/>
    <s v="Kano State"/>
    <s v="Kano"/>
    <x v="3"/>
    <x v="2"/>
    <s v="Bank Transfer"/>
    <x v="6"/>
    <s v="Electronics"/>
    <n v="1"/>
    <n v="171000"/>
    <n v="130000"/>
    <n v="0"/>
    <x v="2"/>
    <s v="Cancelled"/>
    <n v="171000"/>
    <x v="155"/>
    <n v="130000"/>
    <n v="41000"/>
    <m/>
  </r>
  <r>
    <s v="NG20250358"/>
    <x v="79"/>
    <s v="Wholesale"/>
    <s v="Rivers State"/>
    <s v="Port Harcourt"/>
    <x v="4"/>
    <x v="0"/>
    <s v="Bank Transfer"/>
    <x v="9"/>
    <s v="Fashion"/>
    <n v="6"/>
    <n v="42000"/>
    <n v="26000"/>
    <n v="0.1"/>
    <x v="7"/>
    <s v="Delivered"/>
    <n v="252000"/>
    <x v="278"/>
    <n v="156000"/>
    <n v="70800"/>
    <m/>
  </r>
  <r>
    <s v="NG20250359"/>
    <x v="237"/>
    <s v="Corporate"/>
    <s v="Edo State"/>
    <s v="Benin City"/>
    <x v="4"/>
    <x v="2"/>
    <s v="Cash"/>
    <x v="1"/>
    <s v="Electronics"/>
    <n v="1"/>
    <n v="450000"/>
    <n v="367500"/>
    <n v="0"/>
    <x v="7"/>
    <s v="Delivered"/>
    <n v="450000"/>
    <x v="223"/>
    <n v="367500"/>
    <n v="82500"/>
    <m/>
  </r>
  <r>
    <s v="NG20250360"/>
    <x v="238"/>
    <s v="Retail"/>
    <s v="Kano State"/>
    <s v="Kano"/>
    <x v="3"/>
    <x v="1"/>
    <s v="Bank Transfer"/>
    <x v="5"/>
    <s v="Furniture"/>
    <n v="5"/>
    <n v="99750"/>
    <n v="62000"/>
    <n v="0.1"/>
    <x v="3"/>
    <s v="Returned"/>
    <n v="498750"/>
    <x v="279"/>
    <n v="310000"/>
    <n v="138875"/>
    <m/>
  </r>
  <r>
    <s v="NG20250361"/>
    <x v="239"/>
    <s v="Wholesale"/>
    <s v="Oyo State"/>
    <s v="Ibadan"/>
    <x v="0"/>
    <x v="2"/>
    <s v="Debit Card"/>
    <x v="5"/>
    <s v="Furniture"/>
    <n v="6"/>
    <n v="95000"/>
    <n v="62000"/>
    <n v="0.1"/>
    <x v="0"/>
    <s v="Delivered"/>
    <n v="570000"/>
    <x v="35"/>
    <n v="372000"/>
    <n v="141000"/>
    <m/>
  </r>
  <r>
    <s v="NG20250362"/>
    <x v="87"/>
    <s v="Retail"/>
    <s v="Ogun State"/>
    <s v="Abeokuta"/>
    <x v="0"/>
    <x v="0"/>
    <s v="Bank Transfer"/>
    <x v="5"/>
    <s v="Furniture"/>
    <n v="1"/>
    <n v="95000"/>
    <n v="62000"/>
    <n v="0.15"/>
    <x v="3"/>
    <s v="Delivered"/>
    <n v="95000"/>
    <x v="280"/>
    <n v="62000"/>
    <n v="18750"/>
    <m/>
  </r>
  <r>
    <s v="NG20250363"/>
    <x v="67"/>
    <s v="Wholesale"/>
    <s v="Anambra State"/>
    <s v="Onitsha"/>
    <x v="2"/>
    <x v="0"/>
    <s v="Debit Card"/>
    <x v="3"/>
    <s v="Electronics"/>
    <n v="5"/>
    <n v="266000"/>
    <n v="199500"/>
    <n v="0.1"/>
    <x v="5"/>
    <s v="Returned"/>
    <n v="1330000"/>
    <x v="281"/>
    <n v="997500"/>
    <n v="199500"/>
    <m/>
  </r>
  <r>
    <s v="NG20250364"/>
    <x v="240"/>
    <s v="Corporate"/>
    <s v="Nasarawa State"/>
    <s v="Mararaba"/>
    <x v="1"/>
    <x v="3"/>
    <s v="USSD"/>
    <x v="8"/>
    <s v="Home Appliances"/>
    <n v="2"/>
    <n v="112500"/>
    <n v="80750"/>
    <n v="0"/>
    <x v="3"/>
    <s v="Delivered"/>
    <n v="225000"/>
    <x v="282"/>
    <n v="161500"/>
    <n v="63500"/>
    <m/>
  </r>
  <r>
    <s v="NG20250365"/>
    <x v="241"/>
    <s v="Wholesale"/>
    <s v="Lagos State"/>
    <s v="Lagos"/>
    <x v="0"/>
    <x v="3"/>
    <s v="Bank Transfer"/>
    <x v="3"/>
    <s v="Electronics"/>
    <n v="1"/>
    <n v="266000"/>
    <n v="210000"/>
    <n v="0"/>
    <x v="2"/>
    <s v="Pending"/>
    <n v="266000"/>
    <x v="44"/>
    <n v="210000"/>
    <n v="56000"/>
    <m/>
  </r>
  <r>
    <s v="NG20250366"/>
    <x v="198"/>
    <s v="Corporate"/>
    <s v="Ogun State"/>
    <s v="Abeokuta"/>
    <x v="0"/>
    <x v="1"/>
    <s v="Cash"/>
    <x v="10"/>
    <s v="Furniture"/>
    <n v="1"/>
    <n v="175000"/>
    <n v="126000"/>
    <n v="0"/>
    <x v="3"/>
    <s v="Returned"/>
    <n v="175000"/>
    <x v="194"/>
    <n v="126000"/>
    <n v="49000"/>
    <m/>
  </r>
  <r>
    <s v="NG20250367"/>
    <x v="242"/>
    <s v="Corporate"/>
    <s v="Edo State"/>
    <s v="Benin City"/>
    <x v="4"/>
    <x v="1"/>
    <s v="Cash"/>
    <x v="6"/>
    <s v="Electronics"/>
    <n v="5"/>
    <n v="198000"/>
    <n v="130000"/>
    <n v="0"/>
    <x v="0"/>
    <s v="Cancelled"/>
    <n v="990000"/>
    <x v="110"/>
    <n v="650000"/>
    <n v="340000"/>
    <m/>
  </r>
  <r>
    <s v="NG20250368"/>
    <x v="217"/>
    <s v="Corporate"/>
    <s v="Anambra State"/>
    <s v="Onitsha"/>
    <x v="2"/>
    <x v="1"/>
    <s v="Bank Transfer"/>
    <x v="10"/>
    <s v="Furniture"/>
    <n v="1"/>
    <n v="183750"/>
    <n v="120000"/>
    <n v="0.05"/>
    <x v="3"/>
    <s v="Delivered"/>
    <n v="183750"/>
    <x v="283"/>
    <n v="120000"/>
    <n v="54562.5"/>
    <m/>
  </r>
  <r>
    <s v="NG20250369"/>
    <x v="110"/>
    <s v="Wholesale"/>
    <s v="Rivers State"/>
    <s v="Port Harcourt"/>
    <x v="4"/>
    <x v="0"/>
    <s v="USSD"/>
    <x v="5"/>
    <s v="Furniture"/>
    <n v="2"/>
    <n v="99750"/>
    <n v="62000"/>
    <n v="0.15"/>
    <x v="5"/>
    <s v="Cancelled"/>
    <n v="199500"/>
    <x v="68"/>
    <n v="124000"/>
    <n v="45575"/>
    <m/>
  </r>
  <r>
    <s v="NG20250370"/>
    <x v="243"/>
    <s v="Retail"/>
    <s v="Plateau State"/>
    <s v="Jos"/>
    <x v="1"/>
    <x v="0"/>
    <s v="Cash"/>
    <x v="8"/>
    <s v="Home Appliances"/>
    <n v="5"/>
    <n v="131250"/>
    <n v="89250"/>
    <n v="0"/>
    <x v="1"/>
    <s v="Cancelled"/>
    <n v="656250"/>
    <x v="284"/>
    <n v="446250"/>
    <n v="210000"/>
    <m/>
  </r>
  <r>
    <s v="NG20250371"/>
    <x v="215"/>
    <s v="Retail"/>
    <s v="Ogun State"/>
    <s v="Abeokuta"/>
    <x v="0"/>
    <x v="2"/>
    <s v="Mobile Money"/>
    <x v="8"/>
    <s v="Home Appliances"/>
    <n v="1"/>
    <n v="125000"/>
    <n v="85000"/>
    <n v="0"/>
    <x v="0"/>
    <s v="Delivered"/>
    <n v="125000"/>
    <x v="14"/>
    <n v="85000"/>
    <n v="40000"/>
    <m/>
  </r>
  <r>
    <s v="NG20250372"/>
    <x v="244"/>
    <s v="Corporate"/>
    <s v="FCT"/>
    <s v="Abuja"/>
    <x v="1"/>
    <x v="0"/>
    <s v="USSD"/>
    <x v="4"/>
    <s v="Home Appliances"/>
    <n v="1"/>
    <n v="48000"/>
    <n v="31500"/>
    <n v="0"/>
    <x v="7"/>
    <s v="Pending"/>
    <n v="48000"/>
    <x v="285"/>
    <n v="31500"/>
    <n v="16500"/>
    <m/>
  </r>
  <r>
    <s v="NG20250373"/>
    <x v="176"/>
    <s v="Wholesale"/>
    <s v="Kano State"/>
    <s v="Kano"/>
    <x v="3"/>
    <x v="3"/>
    <s v="Mobile Money"/>
    <x v="3"/>
    <s v="Electronics"/>
    <n v="3"/>
    <n v="280000"/>
    <n v="199500"/>
    <n v="0"/>
    <x v="5"/>
    <s v="Cancelled"/>
    <n v="840000"/>
    <x v="190"/>
    <n v="598500"/>
    <n v="241500"/>
    <m/>
  </r>
  <r>
    <s v="NG20250374"/>
    <x v="205"/>
    <s v="Corporate"/>
    <s v="Rivers State"/>
    <s v="Port Harcourt"/>
    <x v="4"/>
    <x v="1"/>
    <s v="Debit Card"/>
    <x v="0"/>
    <s v="Fashion"/>
    <n v="3"/>
    <n v="22000"/>
    <n v="13000"/>
    <n v="0"/>
    <x v="1"/>
    <s v="Pending"/>
    <n v="66000"/>
    <x v="126"/>
    <n v="39000"/>
    <n v="27000"/>
    <m/>
  </r>
  <r>
    <s v="NG20250375"/>
    <x v="101"/>
    <s v="Corporate"/>
    <s v="Oyo State"/>
    <s v="Ibadan"/>
    <x v="0"/>
    <x v="3"/>
    <s v="Bank Transfer"/>
    <x v="3"/>
    <s v="Electronics"/>
    <n v="6"/>
    <n v="266000"/>
    <n v="199500"/>
    <n v="0"/>
    <x v="7"/>
    <s v="Returned"/>
    <n v="1596000"/>
    <x v="286"/>
    <n v="1197000"/>
    <n v="399000"/>
    <m/>
  </r>
  <r>
    <s v="NG20250376"/>
    <x v="245"/>
    <s v="Retail"/>
    <s v="Kaduna State"/>
    <s v="Kaduna"/>
    <x v="3"/>
    <x v="2"/>
    <s v="Bank Transfer"/>
    <x v="6"/>
    <s v="Electronics"/>
    <n v="1"/>
    <n v="189000"/>
    <n v="136500"/>
    <n v="0"/>
    <x v="0"/>
    <s v="Cancelled"/>
    <n v="189000"/>
    <x v="287"/>
    <n v="136500"/>
    <n v="52500"/>
    <m/>
  </r>
  <r>
    <s v="NG20250377"/>
    <x v="42"/>
    <s v="Wholesale"/>
    <s v="Kaduna State"/>
    <s v="Kaduna"/>
    <x v="3"/>
    <x v="0"/>
    <s v="USSD"/>
    <x v="11"/>
    <s v="Electronics"/>
    <n v="8"/>
    <n v="152000"/>
    <n v="115000"/>
    <n v="0"/>
    <x v="1"/>
    <s v="Delivered"/>
    <n v="1216000"/>
    <x v="288"/>
    <n v="920000"/>
    <n v="296000"/>
    <m/>
  </r>
  <r>
    <s v="NG20250378"/>
    <x v="81"/>
    <s v="Retail"/>
    <s v="Anambra State"/>
    <s v="Onitsha"/>
    <x v="2"/>
    <x v="1"/>
    <s v="Mobile Money"/>
    <x v="0"/>
    <s v="Fashion"/>
    <n v="12"/>
    <n v="20900"/>
    <n v="13650"/>
    <n v="0"/>
    <x v="1"/>
    <s v="Returned"/>
    <n v="250800"/>
    <x v="29"/>
    <n v="163800"/>
    <n v="87000"/>
    <m/>
  </r>
  <r>
    <s v="NG20250379"/>
    <x v="246"/>
    <s v="Wholesale"/>
    <s v="Ogun State"/>
    <s v="Abeokuta"/>
    <x v="0"/>
    <x v="3"/>
    <s v="Mobile Money"/>
    <x v="7"/>
    <s v="Groceries"/>
    <n v="5"/>
    <n v="90250"/>
    <n v="82000"/>
    <n v="0"/>
    <x v="0"/>
    <s v="Returned"/>
    <n v="451250"/>
    <x v="289"/>
    <n v="410000"/>
    <n v="41250"/>
    <m/>
  </r>
  <r>
    <s v="NG20250380"/>
    <x v="247"/>
    <s v="Corporate"/>
    <s v="Anambra State"/>
    <s v="Onitsha"/>
    <x v="2"/>
    <x v="1"/>
    <s v="Cash"/>
    <x v="4"/>
    <s v="Home Appliances"/>
    <n v="10"/>
    <n v="52800"/>
    <n v="30000"/>
    <n v="0"/>
    <x v="6"/>
    <s v="Delivered"/>
    <n v="528000"/>
    <x v="290"/>
    <n v="300000"/>
    <n v="228000"/>
    <m/>
  </r>
  <r>
    <s v="NG20250381"/>
    <x v="237"/>
    <s v="Wholesale"/>
    <s v="Anambra State"/>
    <s v="Onitsha"/>
    <x v="2"/>
    <x v="2"/>
    <s v="Cash"/>
    <x v="4"/>
    <s v="Home Appliances"/>
    <n v="5"/>
    <n v="50400"/>
    <n v="30000"/>
    <n v="0.15"/>
    <x v="5"/>
    <s v="Delivered"/>
    <n v="252000"/>
    <x v="273"/>
    <n v="150000"/>
    <n v="64200"/>
    <m/>
  </r>
  <r>
    <s v="NG20250382"/>
    <x v="248"/>
    <s v="Wholesale"/>
    <s v="Edo State"/>
    <s v="Benin City"/>
    <x v="4"/>
    <x v="3"/>
    <s v="Bank Transfer"/>
    <x v="2"/>
    <s v="Groceries"/>
    <n v="2"/>
    <n v="18500"/>
    <n v="14500"/>
    <n v="0.15"/>
    <x v="2"/>
    <s v="Delivered"/>
    <n v="37000"/>
    <x v="248"/>
    <n v="29000"/>
    <n v="2450"/>
    <m/>
  </r>
  <r>
    <s v="NG20250383"/>
    <x v="122"/>
    <s v="Corporate"/>
    <s v="Kaduna State"/>
    <s v="Kaduna"/>
    <x v="3"/>
    <x v="0"/>
    <s v="Mobile Money"/>
    <x v="7"/>
    <s v="Groceries"/>
    <n v="4"/>
    <n v="99750"/>
    <n v="86100"/>
    <n v="0.15"/>
    <x v="3"/>
    <s v="Delivered"/>
    <n v="399000"/>
    <x v="291"/>
    <n v="344400"/>
    <n v="-5250"/>
    <m/>
  </r>
  <r>
    <s v="NG20250384"/>
    <x v="249"/>
    <s v="Corporate"/>
    <s v="Kano State"/>
    <s v="Kano"/>
    <x v="3"/>
    <x v="3"/>
    <s v="Cash"/>
    <x v="1"/>
    <s v="Electronics"/>
    <n v="1"/>
    <n v="472500"/>
    <n v="332500"/>
    <n v="0"/>
    <x v="7"/>
    <s v="Delivered"/>
    <n v="472500"/>
    <x v="207"/>
    <n v="332500"/>
    <n v="140000"/>
    <m/>
  </r>
  <r>
    <s v="NG20250385"/>
    <x v="250"/>
    <s v="Wholesale"/>
    <s v="Nasarawa State"/>
    <s v="Mararaba"/>
    <x v="1"/>
    <x v="2"/>
    <s v="Mobile Money"/>
    <x v="9"/>
    <s v="Fashion"/>
    <n v="2"/>
    <n v="42000"/>
    <n v="24700"/>
    <n v="0"/>
    <x v="0"/>
    <s v="Delivered"/>
    <n v="84000"/>
    <x v="292"/>
    <n v="49400"/>
    <n v="34600"/>
    <m/>
  </r>
  <r>
    <s v="NG20250386"/>
    <x v="251"/>
    <s v="Corporate"/>
    <s v="Enugu State"/>
    <s v="Enugu"/>
    <x v="2"/>
    <x v="1"/>
    <s v="USSD"/>
    <x v="11"/>
    <s v="Electronics"/>
    <n v="6"/>
    <n v="176000"/>
    <n v="115000"/>
    <n v="0.15"/>
    <x v="2"/>
    <s v="Delivered"/>
    <n v="1056000"/>
    <x v="293"/>
    <n v="690000"/>
    <n v="207600"/>
    <m/>
  </r>
  <r>
    <s v="NG20250387"/>
    <x v="31"/>
    <s v="Wholesale"/>
    <s v="Lagos State"/>
    <s v="Lagos"/>
    <x v="0"/>
    <x v="3"/>
    <s v="Mobile Money"/>
    <x v="7"/>
    <s v="Groceries"/>
    <n v="1"/>
    <n v="95000"/>
    <n v="82000"/>
    <n v="0.1"/>
    <x v="5"/>
    <s v="Delivered"/>
    <n v="95000"/>
    <x v="157"/>
    <n v="82000"/>
    <n v="3500"/>
    <m/>
  </r>
  <r>
    <s v="NG20250388"/>
    <x v="152"/>
    <s v="Wholesale"/>
    <s v="FCT"/>
    <s v="Abuja"/>
    <x v="1"/>
    <x v="0"/>
    <s v="USSD"/>
    <x v="9"/>
    <s v="Fashion"/>
    <n v="2"/>
    <n v="39900"/>
    <n v="24700"/>
    <n v="0"/>
    <x v="7"/>
    <s v="Returned"/>
    <n v="79800"/>
    <x v="294"/>
    <n v="49400"/>
    <n v="30400"/>
    <m/>
  </r>
  <r>
    <s v="NG20250389"/>
    <x v="245"/>
    <s v="Corporate"/>
    <s v="Nasarawa State"/>
    <s v="Mararaba"/>
    <x v="1"/>
    <x v="1"/>
    <s v="Cash"/>
    <x v="4"/>
    <s v="Home Appliances"/>
    <n v="4"/>
    <n v="45600"/>
    <n v="30000"/>
    <n v="0.1"/>
    <x v="7"/>
    <s v="Delivered"/>
    <n v="182400"/>
    <x v="158"/>
    <n v="120000"/>
    <n v="44160"/>
    <m/>
  </r>
  <r>
    <s v="NG20250390"/>
    <x v="157"/>
    <s v="Corporate"/>
    <s v="Plateau State"/>
    <s v="Jos"/>
    <x v="1"/>
    <x v="0"/>
    <s v="Debit Card"/>
    <x v="6"/>
    <s v="Electronics"/>
    <n v="4"/>
    <n v="198000"/>
    <n v="130000"/>
    <n v="0.05"/>
    <x v="5"/>
    <s v="Cancelled"/>
    <n v="792000"/>
    <x v="295"/>
    <n v="520000"/>
    <n v="232400"/>
    <m/>
  </r>
  <r>
    <s v="NG20250391"/>
    <x v="252"/>
    <s v="Corporate"/>
    <s v="Enugu State"/>
    <s v="Enugu"/>
    <x v="2"/>
    <x v="0"/>
    <s v="Debit Card"/>
    <x v="6"/>
    <s v="Electronics"/>
    <n v="1"/>
    <n v="180000"/>
    <n v="130000"/>
    <n v="0.05"/>
    <x v="5"/>
    <s v="Cancelled"/>
    <n v="180000"/>
    <x v="155"/>
    <n v="130000"/>
    <n v="41000"/>
    <m/>
  </r>
  <r>
    <s v="NG20250392"/>
    <x v="253"/>
    <s v="Corporate"/>
    <s v="Rivers State"/>
    <s v="Port Harcourt"/>
    <x v="4"/>
    <x v="0"/>
    <s v="Bank Transfer"/>
    <x v="11"/>
    <s v="Electronics"/>
    <n v="2"/>
    <n v="160000"/>
    <n v="115000"/>
    <n v="0"/>
    <x v="2"/>
    <s v="Cancelled"/>
    <n v="320000"/>
    <x v="242"/>
    <n v="230000"/>
    <n v="90000"/>
    <m/>
  </r>
  <r>
    <s v="NG20250393"/>
    <x v="254"/>
    <s v="Corporate"/>
    <s v="FCT"/>
    <s v="Abuja"/>
    <x v="1"/>
    <x v="0"/>
    <s v="USSD"/>
    <x v="8"/>
    <s v="Home Appliances"/>
    <n v="10"/>
    <n v="125000"/>
    <n v="85000"/>
    <n v="0"/>
    <x v="4"/>
    <s v="Delivered"/>
    <n v="1250000"/>
    <x v="296"/>
    <n v="850000"/>
    <n v="400000"/>
    <m/>
  </r>
  <r>
    <s v="NG20250394"/>
    <x v="139"/>
    <s v="Corporate"/>
    <s v="Edo State"/>
    <s v="Benin City"/>
    <x v="4"/>
    <x v="0"/>
    <s v="Debit Card"/>
    <x v="7"/>
    <s v="Groceries"/>
    <n v="2"/>
    <n v="95000"/>
    <n v="82000"/>
    <n v="0.1"/>
    <x v="5"/>
    <s v="Pending"/>
    <n v="190000"/>
    <x v="155"/>
    <n v="164000"/>
    <n v="7000"/>
    <m/>
  </r>
  <r>
    <s v="NG20250395"/>
    <x v="122"/>
    <s v="Wholesale"/>
    <s v="Enugu State"/>
    <s v="Enugu"/>
    <x v="2"/>
    <x v="0"/>
    <s v="Cash"/>
    <x v="10"/>
    <s v="Furniture"/>
    <n v="1"/>
    <n v="157500"/>
    <n v="120000"/>
    <n v="0.1"/>
    <x v="5"/>
    <s v="Delivered"/>
    <n v="157500"/>
    <x v="297"/>
    <n v="120000"/>
    <n v="21750"/>
    <m/>
  </r>
  <r>
    <s v="NG20250396"/>
    <x v="16"/>
    <s v="Wholesale"/>
    <s v="Kano State"/>
    <s v="Kano"/>
    <x v="3"/>
    <x v="2"/>
    <s v="Bank Transfer"/>
    <x v="0"/>
    <s v="Fashion"/>
    <n v="8"/>
    <n v="20900"/>
    <n v="13650"/>
    <n v="0.15"/>
    <x v="1"/>
    <s v="Returned"/>
    <n v="167200"/>
    <x v="298"/>
    <n v="109200"/>
    <n v="32920"/>
    <m/>
  </r>
  <r>
    <s v="NG20250397"/>
    <x v="93"/>
    <s v="Retail"/>
    <s v="Plateau State"/>
    <s v="Jos"/>
    <x v="1"/>
    <x v="2"/>
    <s v="Debit Card"/>
    <x v="9"/>
    <s v="Fashion"/>
    <n v="1"/>
    <n v="37800"/>
    <n v="24700"/>
    <n v="0"/>
    <x v="0"/>
    <s v="Cancelled"/>
    <n v="37800"/>
    <x v="172"/>
    <n v="24700"/>
    <n v="13100"/>
    <m/>
  </r>
  <r>
    <s v="NG20250398"/>
    <x v="255"/>
    <s v="Retail"/>
    <s v="Kaduna State"/>
    <s v="Kaduna"/>
    <x v="3"/>
    <x v="0"/>
    <s v="Mobile Money"/>
    <x v="4"/>
    <s v="Home Appliances"/>
    <n v="4"/>
    <n v="48000"/>
    <n v="30000"/>
    <n v="0"/>
    <x v="3"/>
    <s v="Returned"/>
    <n v="192000"/>
    <x v="61"/>
    <n v="120000"/>
    <n v="72000"/>
    <m/>
  </r>
  <r>
    <s v="NG20250399"/>
    <x v="123"/>
    <s v="Corporate"/>
    <s v="Anambra State"/>
    <s v="Onitsha"/>
    <x v="2"/>
    <x v="3"/>
    <s v="Mobile Money"/>
    <x v="9"/>
    <s v="Fashion"/>
    <n v="1"/>
    <n v="46200"/>
    <n v="24700"/>
    <n v="0"/>
    <x v="3"/>
    <s v="Delivered"/>
    <n v="46200"/>
    <x v="276"/>
    <n v="24700"/>
    <n v="21500"/>
    <m/>
  </r>
  <r>
    <s v="NG20250400"/>
    <x v="256"/>
    <s v="Retail"/>
    <s v="Kaduna State"/>
    <s v="Kaduna"/>
    <x v="3"/>
    <x v="2"/>
    <s v="USSD"/>
    <x v="5"/>
    <s v="Furniture"/>
    <n v="3"/>
    <n v="104500"/>
    <n v="58900"/>
    <n v="0.05"/>
    <x v="4"/>
    <s v="Cancelled"/>
    <n v="313500"/>
    <x v="299"/>
    <n v="176700"/>
    <n v="121125"/>
    <m/>
  </r>
  <r>
    <s v="NG20250401"/>
    <x v="257"/>
    <s v="Retail"/>
    <s v="Ogun State"/>
    <s v="Abeokuta"/>
    <x v="0"/>
    <x v="0"/>
    <s v="Bank Transfer"/>
    <x v="0"/>
    <s v="Fashion"/>
    <n v="2"/>
    <n v="24200"/>
    <n v="13000"/>
    <n v="0"/>
    <x v="7"/>
    <s v="Cancelled"/>
    <n v="48400"/>
    <x v="300"/>
    <n v="26000"/>
    <n v="22400"/>
    <m/>
  </r>
  <r>
    <s v="NG20250402"/>
    <x v="33"/>
    <s v="Wholesale"/>
    <s v="Anambra State"/>
    <s v="Onitsha"/>
    <x v="2"/>
    <x v="3"/>
    <s v="Cash"/>
    <x v="2"/>
    <s v="Groceries"/>
    <n v="3"/>
    <n v="18500"/>
    <n v="13775"/>
    <n v="0"/>
    <x v="0"/>
    <s v="Returned"/>
    <n v="55500"/>
    <x v="301"/>
    <n v="41325"/>
    <n v="14175"/>
    <m/>
  </r>
  <r>
    <s v="NG20250403"/>
    <x v="52"/>
    <s v="Retail"/>
    <s v="Enugu State"/>
    <s v="Enugu"/>
    <x v="2"/>
    <x v="2"/>
    <s v="Mobile Money"/>
    <x v="0"/>
    <s v="Fashion"/>
    <n v="1"/>
    <n v="20900"/>
    <n v="13000"/>
    <n v="0.1"/>
    <x v="7"/>
    <s v="Delivered"/>
    <n v="20900"/>
    <x v="121"/>
    <n v="13000"/>
    <n v="5810"/>
    <m/>
  </r>
  <r>
    <s v="NG20250404"/>
    <x v="24"/>
    <s v="Retail"/>
    <s v="Kaduna State"/>
    <s v="Kaduna"/>
    <x v="3"/>
    <x v="2"/>
    <s v="Mobile Money"/>
    <x v="7"/>
    <s v="Groceries"/>
    <n v="5"/>
    <n v="85500"/>
    <n v="82000"/>
    <n v="0.15"/>
    <x v="1"/>
    <s v="Delivered"/>
    <n v="427500"/>
    <x v="18"/>
    <n v="410000"/>
    <n v="-46625"/>
    <m/>
  </r>
  <r>
    <s v="NG20250405"/>
    <x v="258"/>
    <s v="Retail"/>
    <s v="Plateau State"/>
    <s v="Jos"/>
    <x v="1"/>
    <x v="2"/>
    <s v="Debit Card"/>
    <x v="10"/>
    <s v="Furniture"/>
    <n v="1"/>
    <n v="183750"/>
    <n v="120000"/>
    <n v="0"/>
    <x v="1"/>
    <s v="Cancelled"/>
    <n v="183750"/>
    <x v="302"/>
    <n v="120000"/>
    <n v="63750"/>
    <m/>
  </r>
  <r>
    <s v="NG20250406"/>
    <x v="259"/>
    <s v="Corporate"/>
    <s v="Plateau State"/>
    <s v="Jos"/>
    <x v="1"/>
    <x v="1"/>
    <s v="Cash"/>
    <x v="8"/>
    <s v="Home Appliances"/>
    <n v="4"/>
    <n v="125000"/>
    <n v="85000"/>
    <n v="0.1"/>
    <x v="7"/>
    <s v="Delivered"/>
    <n v="500000"/>
    <x v="223"/>
    <n v="340000"/>
    <n v="110000"/>
    <m/>
  </r>
  <r>
    <s v="NG20250407"/>
    <x v="260"/>
    <s v="Wholesale"/>
    <s v="FCT"/>
    <s v="Abuja"/>
    <x v="1"/>
    <x v="3"/>
    <s v="USSD"/>
    <x v="10"/>
    <s v="Furniture"/>
    <n v="6"/>
    <n v="183750"/>
    <n v="126000"/>
    <n v="0"/>
    <x v="1"/>
    <s v="Delivered"/>
    <n v="1102500"/>
    <x v="303"/>
    <n v="756000"/>
    <n v="346500"/>
    <m/>
  </r>
  <r>
    <s v="NG20250408"/>
    <x v="111"/>
    <s v="Retail"/>
    <s v="Plateau State"/>
    <s v="Jos"/>
    <x v="1"/>
    <x v="3"/>
    <s v="Cash"/>
    <x v="8"/>
    <s v="Home Appliances"/>
    <n v="6"/>
    <n v="125000"/>
    <n v="80750"/>
    <n v="0"/>
    <x v="5"/>
    <s v="Cancelled"/>
    <n v="750000"/>
    <x v="304"/>
    <n v="484500"/>
    <n v="265500"/>
    <m/>
  </r>
  <r>
    <s v="NG20250409"/>
    <x v="229"/>
    <s v="Retail"/>
    <s v="Edo State"/>
    <s v="Benin City"/>
    <x v="4"/>
    <x v="1"/>
    <s v="Mobile Money"/>
    <x v="5"/>
    <s v="Furniture"/>
    <n v="10"/>
    <n v="85500"/>
    <n v="58900"/>
    <n v="0"/>
    <x v="5"/>
    <s v="Returned"/>
    <n v="855000"/>
    <x v="31"/>
    <n v="589000"/>
    <n v="266000"/>
    <m/>
  </r>
  <r>
    <s v="NG20250410"/>
    <x v="231"/>
    <s v="Corporate"/>
    <s v="Enugu State"/>
    <s v="Enugu"/>
    <x v="2"/>
    <x v="2"/>
    <s v="Mobile Money"/>
    <x v="1"/>
    <s v="Electronics"/>
    <n v="2"/>
    <n v="450000"/>
    <n v="367500"/>
    <n v="0.15"/>
    <x v="4"/>
    <s v="Delivered"/>
    <n v="900000"/>
    <x v="305"/>
    <n v="735000"/>
    <n v="30000"/>
    <m/>
  </r>
  <r>
    <s v="NG20250411"/>
    <x v="123"/>
    <s v="Wholesale"/>
    <s v="Kaduna State"/>
    <s v="Kaduna"/>
    <x v="3"/>
    <x v="2"/>
    <s v="Mobile Money"/>
    <x v="6"/>
    <s v="Electronics"/>
    <n v="3"/>
    <n v="162000"/>
    <n v="136500"/>
    <n v="0"/>
    <x v="6"/>
    <s v="Delivered"/>
    <n v="486000"/>
    <x v="306"/>
    <n v="409500"/>
    <n v="76500"/>
    <m/>
  </r>
  <r>
    <s v="NG20250412"/>
    <x v="153"/>
    <s v="Retail"/>
    <s v="Ogun State"/>
    <s v="Abeokuta"/>
    <x v="0"/>
    <x v="2"/>
    <s v="USSD"/>
    <x v="7"/>
    <s v="Electronics"/>
    <n v="3"/>
    <n v="90250"/>
    <n v="82000"/>
    <n v="0.15"/>
    <x v="5"/>
    <s v="Delivered"/>
    <n v="270750"/>
    <x v="307"/>
    <n v="246000"/>
    <n v="-15862.5"/>
    <m/>
  </r>
  <r>
    <s v="NG20250413"/>
    <x v="260"/>
    <s v="Corporate"/>
    <s v="Nasarawa State"/>
    <s v="Mararaba"/>
    <x v="1"/>
    <x v="1"/>
    <s v="Bank Transfer"/>
    <x v="3"/>
    <s v="Electronics"/>
    <n v="3"/>
    <n v="252000"/>
    <n v="210000"/>
    <n v="0.1"/>
    <x v="7"/>
    <s v="Pending"/>
    <n v="756000"/>
    <x v="308"/>
    <n v="630000"/>
    <n v="50400"/>
    <m/>
  </r>
  <r>
    <s v="NG20250414"/>
    <x v="261"/>
    <s v="Wholesale"/>
    <s v="Plateau State"/>
    <s v="Jos"/>
    <x v="1"/>
    <x v="2"/>
    <s v="USSD"/>
    <x v="0"/>
    <s v="Fashion"/>
    <n v="1"/>
    <n v="22000"/>
    <n v="13000"/>
    <n v="0.15"/>
    <x v="0"/>
    <s v="Cancelled"/>
    <n v="22000"/>
    <x v="309"/>
    <n v="13000"/>
    <n v="5700"/>
    <m/>
  </r>
  <r>
    <s v="NG20250415"/>
    <x v="93"/>
    <s v="Retail"/>
    <s v="Anambra State"/>
    <s v="Onitsha"/>
    <x v="2"/>
    <x v="1"/>
    <s v="Debit Card"/>
    <x v="10"/>
    <s v="Furniture"/>
    <n v="5"/>
    <n v="192500"/>
    <n v="114000"/>
    <n v="0.1"/>
    <x v="2"/>
    <s v="Pending"/>
    <n v="962500"/>
    <x v="84"/>
    <n v="570000"/>
    <n v="296250"/>
    <m/>
  </r>
  <r>
    <s v="NG20250416"/>
    <x v="14"/>
    <s v="Retail"/>
    <s v="Kaduna State"/>
    <s v="Kaduna"/>
    <x v="3"/>
    <x v="3"/>
    <s v="Cash"/>
    <x v="8"/>
    <s v="Home Appliances"/>
    <n v="10"/>
    <n v="112500"/>
    <n v="85000"/>
    <n v="0.05"/>
    <x v="6"/>
    <s v="Delivered"/>
    <n v="1125000"/>
    <x v="310"/>
    <n v="850000"/>
    <n v="218750"/>
    <m/>
  </r>
  <r>
    <s v="NG20250417"/>
    <x v="70"/>
    <s v="Corporate"/>
    <s v="Ogun State"/>
    <s v="Abeokuta"/>
    <x v="0"/>
    <x v="0"/>
    <s v="USSD"/>
    <x v="6"/>
    <s v="Electronics"/>
    <n v="3"/>
    <n v="189000"/>
    <n v="123500"/>
    <n v="0.15"/>
    <x v="1"/>
    <s v="Pending"/>
    <n v="567000"/>
    <x v="311"/>
    <n v="370500"/>
    <n v="111450"/>
    <m/>
  </r>
  <r>
    <s v="NG20250418"/>
    <x v="174"/>
    <s v="Retail"/>
    <s v="FCT"/>
    <s v="Abuja"/>
    <x v="1"/>
    <x v="2"/>
    <s v="Cash"/>
    <x v="8"/>
    <s v="Home Appliances"/>
    <n v="4"/>
    <n v="131250"/>
    <n v="89250"/>
    <n v="0"/>
    <x v="7"/>
    <s v="Delivered"/>
    <n v="525000"/>
    <x v="58"/>
    <n v="357000"/>
    <n v="168000"/>
    <m/>
  </r>
  <r>
    <s v="NG20250419"/>
    <x v="211"/>
    <s v="Wholesale"/>
    <s v="Ogun State"/>
    <s v="Abeokuta"/>
    <x v="0"/>
    <x v="0"/>
    <s v="Debit Card"/>
    <x v="2"/>
    <s v="Groceries"/>
    <n v="1"/>
    <n v="18500"/>
    <n v="14500"/>
    <n v="0.1"/>
    <x v="3"/>
    <s v="Cancelled"/>
    <n v="18500"/>
    <x v="252"/>
    <n v="14500"/>
    <n v="2150"/>
    <m/>
  </r>
  <r>
    <s v="NG20250420"/>
    <x v="49"/>
    <s v="Wholesale"/>
    <s v="Kaduna State"/>
    <s v="Kaduna"/>
    <x v="3"/>
    <x v="2"/>
    <s v="Mobile Money"/>
    <x v="11"/>
    <s v="Electronics"/>
    <n v="4"/>
    <n v="160000"/>
    <n v="120750"/>
    <n v="0"/>
    <x v="6"/>
    <s v="Pending"/>
    <n v="640000"/>
    <x v="312"/>
    <n v="483000"/>
    <n v="157000"/>
    <m/>
  </r>
  <r>
    <s v="NG20250421"/>
    <x v="161"/>
    <s v="Retail"/>
    <s v="Rivers State"/>
    <s v="Port Harcourt"/>
    <x v="4"/>
    <x v="2"/>
    <s v="USSD"/>
    <x v="2"/>
    <s v="Groceries"/>
    <n v="3"/>
    <n v="17575"/>
    <n v="14500"/>
    <n v="0.05"/>
    <x v="0"/>
    <s v="Cancelled"/>
    <n v="52725"/>
    <x v="313"/>
    <n v="43500"/>
    <n v="6588.75"/>
    <m/>
  </r>
  <r>
    <s v="NG20250422"/>
    <x v="238"/>
    <s v="Retail"/>
    <s v="Oyo State"/>
    <s v="Ibadan"/>
    <x v="0"/>
    <x v="1"/>
    <s v="Mobile Money"/>
    <x v="6"/>
    <s v="Electronics"/>
    <n v="1"/>
    <n v="180000"/>
    <n v="136500"/>
    <n v="0"/>
    <x v="7"/>
    <s v="Delivered"/>
    <n v="180000"/>
    <x v="314"/>
    <n v="136500"/>
    <n v="43500"/>
    <m/>
  </r>
  <r>
    <s v="NG20250423"/>
    <x v="235"/>
    <s v="Wholesale"/>
    <s v="Enugu State"/>
    <s v="Enugu"/>
    <x v="2"/>
    <x v="0"/>
    <s v="USSD"/>
    <x v="7"/>
    <s v="Groceries"/>
    <n v="6"/>
    <n v="85500"/>
    <n v="86100"/>
    <n v="0.15"/>
    <x v="0"/>
    <s v="Cancelled"/>
    <n v="513000"/>
    <x v="315"/>
    <n v="516600"/>
    <n v="-80550"/>
    <m/>
  </r>
  <r>
    <s v="NG20250424"/>
    <x v="77"/>
    <s v="Wholesale"/>
    <s v="Lagos State"/>
    <s v="Lagos"/>
    <x v="0"/>
    <x v="0"/>
    <s v="USSD"/>
    <x v="10"/>
    <s v="Furniture"/>
    <n v="5"/>
    <n v="175000"/>
    <n v="120000"/>
    <n v="0.05"/>
    <x v="6"/>
    <s v="Delivered"/>
    <n v="875000"/>
    <x v="50"/>
    <n v="600000"/>
    <n v="231250"/>
    <m/>
  </r>
  <r>
    <s v="NG20250425"/>
    <x v="262"/>
    <s v="Corporate"/>
    <s v="Kaduna State"/>
    <s v="Kaduna"/>
    <x v="3"/>
    <x v="3"/>
    <s v="Cash"/>
    <x v="5"/>
    <s v="Furniture"/>
    <n v="6"/>
    <n v="104500"/>
    <n v="58900"/>
    <n v="0"/>
    <x v="7"/>
    <s v="Cancelled"/>
    <n v="627000"/>
    <x v="316"/>
    <n v="353400"/>
    <n v="273600"/>
    <m/>
  </r>
  <r>
    <s v="NG20250426"/>
    <x v="263"/>
    <s v="Wholesale"/>
    <s v="Edo State"/>
    <s v="Benin City"/>
    <x v="4"/>
    <x v="2"/>
    <s v="Debit Card"/>
    <x v="9"/>
    <s v="Fashion"/>
    <n v="6"/>
    <n v="42000"/>
    <n v="24700"/>
    <n v="0.1"/>
    <x v="0"/>
    <s v="Pending"/>
    <n v="252000"/>
    <x v="278"/>
    <n v="148200"/>
    <n v="78600"/>
    <m/>
  </r>
  <r>
    <s v="NG20250427"/>
    <x v="162"/>
    <s v="Wholesale"/>
    <s v="Oyo State"/>
    <s v="Ibadan"/>
    <x v="0"/>
    <x v="3"/>
    <s v="Mobile Money"/>
    <x v="10"/>
    <s v="Furniture"/>
    <n v="1"/>
    <n v="183750"/>
    <n v="120000"/>
    <n v="0"/>
    <x v="4"/>
    <s v="Pending"/>
    <n v="183750"/>
    <x v="302"/>
    <n v="120000"/>
    <n v="63750"/>
    <m/>
  </r>
  <r>
    <s v="NG20250428"/>
    <x v="264"/>
    <s v="Wholesale"/>
    <s v="Kano State"/>
    <s v="Kano"/>
    <x v="3"/>
    <x v="1"/>
    <s v="Debit Card"/>
    <x v="0"/>
    <s v="Fashion"/>
    <n v="6"/>
    <n v="22000"/>
    <n v="13650"/>
    <n v="0"/>
    <x v="4"/>
    <s v="Cancelled"/>
    <n v="132000"/>
    <x v="193"/>
    <n v="81900"/>
    <n v="50100"/>
    <m/>
  </r>
  <r>
    <s v="NG20250429"/>
    <x v="66"/>
    <s v="Retail"/>
    <s v="Plateau State"/>
    <s v="Jos"/>
    <x v="1"/>
    <x v="1"/>
    <s v="Cash"/>
    <x v="2"/>
    <s v="Groceries"/>
    <n v="6"/>
    <n v="18500"/>
    <n v="14500"/>
    <n v="0.15"/>
    <x v="3"/>
    <s v="Returned"/>
    <n v="111000"/>
    <x v="317"/>
    <n v="87000"/>
    <n v="7350"/>
    <m/>
  </r>
  <r>
    <s v="NG20250430"/>
    <x v="255"/>
    <s v="Retail"/>
    <s v="Enugu State"/>
    <s v="Enugu"/>
    <x v="2"/>
    <x v="0"/>
    <s v="Cash"/>
    <x v="11"/>
    <s v="Electronics"/>
    <n v="3"/>
    <n v="160000"/>
    <n v="109250"/>
    <n v="0"/>
    <x v="1"/>
    <s v="Returned"/>
    <n v="480000"/>
    <x v="21"/>
    <n v="327750"/>
    <n v="152250"/>
    <m/>
  </r>
  <r>
    <s v="NG20250431"/>
    <x v="265"/>
    <s v="Retail"/>
    <s v="Kano State"/>
    <s v="Kano"/>
    <x v="3"/>
    <x v="1"/>
    <s v="USSD"/>
    <x v="2"/>
    <s v="Groceries"/>
    <n v="1"/>
    <n v="18500"/>
    <n v="14500"/>
    <n v="0"/>
    <x v="4"/>
    <s v="Cancelled"/>
    <n v="18500"/>
    <x v="318"/>
    <n v="14500"/>
    <n v="4000"/>
    <m/>
  </r>
  <r>
    <s v="NG20250432"/>
    <x v="191"/>
    <s v="Retail"/>
    <s v="Anambra State"/>
    <s v="Onitsha"/>
    <x v="2"/>
    <x v="2"/>
    <s v="Mobile Money"/>
    <x v="9"/>
    <s v="Fashion"/>
    <n v="1"/>
    <n v="46200"/>
    <n v="26000"/>
    <n v="0.15"/>
    <x v="4"/>
    <s v="Pending"/>
    <n v="46200"/>
    <x v="319"/>
    <n v="26000"/>
    <n v="13270"/>
    <m/>
  </r>
  <r>
    <s v="NG20250433"/>
    <x v="266"/>
    <s v="Retail"/>
    <s v="Lagos State"/>
    <s v="Lagos"/>
    <x v="0"/>
    <x v="3"/>
    <s v="Cash"/>
    <x v="11"/>
    <s v="Electronics"/>
    <n v="6"/>
    <n v="160000"/>
    <n v="115000"/>
    <n v="0.1"/>
    <x v="7"/>
    <s v="Returned"/>
    <n v="960000"/>
    <x v="320"/>
    <n v="690000"/>
    <n v="174000"/>
    <m/>
  </r>
  <r>
    <s v="NG20250434"/>
    <x v="267"/>
    <s v="Corporate"/>
    <s v="Oyo State"/>
    <s v="Ibadan"/>
    <x v="0"/>
    <x v="2"/>
    <s v="Mobile Money"/>
    <x v="6"/>
    <s v="Electronics"/>
    <n v="15"/>
    <n v="198000"/>
    <n v="136500"/>
    <n v="0"/>
    <x v="7"/>
    <s v="Pending"/>
    <n v="2970000"/>
    <x v="321"/>
    <n v="2047500"/>
    <n v="922500"/>
    <m/>
  </r>
  <r>
    <s v="NG20250435"/>
    <x v="107"/>
    <s v="Corporate"/>
    <s v="Edo State"/>
    <s v="Benin City"/>
    <x v="4"/>
    <x v="3"/>
    <s v="Debit Card"/>
    <x v="9"/>
    <s v="Fashion"/>
    <n v="1"/>
    <n v="37800"/>
    <n v="26000"/>
    <n v="0.15"/>
    <x v="5"/>
    <s v="Cancelled"/>
    <n v="37800"/>
    <x v="322"/>
    <n v="26000"/>
    <n v="6130"/>
    <m/>
  </r>
  <r>
    <s v="NG20250436"/>
    <x v="268"/>
    <s v="Wholesale"/>
    <s v="FCT"/>
    <s v="Abuja"/>
    <x v="1"/>
    <x v="0"/>
    <s v="Mobile Money"/>
    <x v="2"/>
    <s v="Groceries"/>
    <n v="3"/>
    <n v="18500"/>
    <n v="13775"/>
    <n v="0"/>
    <x v="3"/>
    <s v="Pending"/>
    <n v="55500"/>
    <x v="301"/>
    <n v="41325"/>
    <n v="14175"/>
    <m/>
  </r>
  <r>
    <s v="NG20250437"/>
    <x v="141"/>
    <s v="Wholesale"/>
    <s v="Nasarawa State"/>
    <s v="Mararaba"/>
    <x v="1"/>
    <x v="1"/>
    <s v="USSD"/>
    <x v="7"/>
    <s v="Groceries"/>
    <n v="2"/>
    <n v="85500"/>
    <n v="82000"/>
    <n v="0.1"/>
    <x v="1"/>
    <s v="Delivered"/>
    <n v="171000"/>
    <x v="323"/>
    <n v="164000"/>
    <n v="-10100"/>
    <m/>
  </r>
  <r>
    <s v="NG20250438"/>
    <x v="214"/>
    <s v="Retail"/>
    <s v="Plateau State"/>
    <s v="Jos"/>
    <x v="1"/>
    <x v="3"/>
    <s v="Bank Transfer"/>
    <x v="11"/>
    <s v="Electronics"/>
    <n v="12"/>
    <n v="160000"/>
    <n v="120750"/>
    <n v="0.1"/>
    <x v="0"/>
    <s v="Pending"/>
    <n v="1920000"/>
    <x v="324"/>
    <n v="1449000"/>
    <n v="279000"/>
    <m/>
  </r>
  <r>
    <s v="NG20250439"/>
    <x v="84"/>
    <s v="Wholesale"/>
    <s v="FCT"/>
    <s v="Abuja"/>
    <x v="1"/>
    <x v="0"/>
    <s v="Debit Card"/>
    <x v="0"/>
    <s v="Fashion"/>
    <n v="5"/>
    <n v="20900"/>
    <n v="13000"/>
    <n v="0.05"/>
    <x v="5"/>
    <s v="Cancelled"/>
    <n v="104500"/>
    <x v="77"/>
    <n v="65000"/>
    <n v="34275"/>
    <m/>
  </r>
  <r>
    <s v="NG20250440"/>
    <x v="257"/>
    <s v="Corporate"/>
    <s v="Oyo State"/>
    <s v="Ibadan"/>
    <x v="0"/>
    <x v="3"/>
    <s v="Debit Card"/>
    <x v="5"/>
    <s v="Furniture"/>
    <n v="3"/>
    <n v="99750"/>
    <n v="62000"/>
    <n v="0"/>
    <x v="5"/>
    <s v="Delivered"/>
    <n v="299250"/>
    <x v="325"/>
    <n v="186000"/>
    <n v="113250"/>
    <m/>
  </r>
  <r>
    <s v="NG20250441"/>
    <x v="239"/>
    <s v="Wholesale"/>
    <s v="Nasarawa State"/>
    <s v="Mararaba"/>
    <x v="1"/>
    <x v="2"/>
    <s v="Debit Card"/>
    <x v="2"/>
    <s v="Groceries"/>
    <n v="2"/>
    <n v="19425"/>
    <n v="14500"/>
    <n v="0.05"/>
    <x v="5"/>
    <s v="Delivered"/>
    <n v="38850"/>
    <x v="326"/>
    <n v="29000"/>
    <n v="7907.5"/>
    <m/>
  </r>
  <r>
    <s v="NG20250442"/>
    <x v="29"/>
    <s v="Retail"/>
    <s v="FCT"/>
    <s v="Abuja"/>
    <x v="1"/>
    <x v="1"/>
    <s v="Mobile Money"/>
    <x v="11"/>
    <s v="Electronics"/>
    <n v="8"/>
    <n v="176000"/>
    <n v="115000"/>
    <n v="0"/>
    <x v="7"/>
    <s v="Delivered"/>
    <n v="1408000"/>
    <x v="327"/>
    <n v="920000"/>
    <n v="488000"/>
    <m/>
  </r>
  <r>
    <s v="NG20250443"/>
    <x v="141"/>
    <s v="Corporate"/>
    <s v="Lagos State"/>
    <s v="Lagos"/>
    <x v="0"/>
    <x v="2"/>
    <s v="Mobile Money"/>
    <x v="7"/>
    <s v="Groceries"/>
    <n v="8"/>
    <n v="95000"/>
    <n v="82000"/>
    <n v="0.05"/>
    <x v="4"/>
    <s v="Delivered"/>
    <n v="760000"/>
    <x v="258"/>
    <n v="656000"/>
    <n v="66000"/>
    <m/>
  </r>
  <r>
    <s v="NG20250444"/>
    <x v="2"/>
    <s v="Wholesale"/>
    <s v="FCT"/>
    <s v="Abuja"/>
    <x v="1"/>
    <x v="0"/>
    <s v="Mobile Money"/>
    <x v="4"/>
    <s v="Home Appliances"/>
    <n v="6"/>
    <n v="45600"/>
    <n v="28500"/>
    <n v="0.1"/>
    <x v="2"/>
    <s v="Pending"/>
    <n v="273600"/>
    <x v="328"/>
    <n v="171000"/>
    <n v="75240"/>
    <m/>
  </r>
  <r>
    <s v="NG20250445"/>
    <x v="143"/>
    <s v="Corporate"/>
    <s v="Rivers State"/>
    <s v="Port Harcourt"/>
    <x v="4"/>
    <x v="0"/>
    <s v="Bank Transfer"/>
    <x v="4"/>
    <s v="Home Appliances"/>
    <n v="6"/>
    <n v="48000"/>
    <n v="28500"/>
    <n v="0.15"/>
    <x v="5"/>
    <s v="Pending"/>
    <n v="288000"/>
    <x v="329"/>
    <n v="171000"/>
    <n v="73800"/>
    <m/>
  </r>
  <r>
    <s v="NG20250446"/>
    <x v="237"/>
    <s v="Retail"/>
    <s v="Anambra State"/>
    <s v="Onitsha"/>
    <x v="2"/>
    <x v="3"/>
    <s v="USSD"/>
    <x v="4"/>
    <s v="Home Appliances"/>
    <n v="1"/>
    <n v="48000"/>
    <n v="30000"/>
    <n v="0"/>
    <x v="2"/>
    <s v="Delivered"/>
    <n v="48000"/>
    <x v="285"/>
    <n v="30000"/>
    <n v="18000"/>
    <m/>
  </r>
  <r>
    <s v="NG20250447"/>
    <x v="269"/>
    <s v="Corporate"/>
    <s v="Ogun State"/>
    <s v="Abeokuta"/>
    <x v="0"/>
    <x v="3"/>
    <s v="USSD"/>
    <x v="10"/>
    <s v="Furniture"/>
    <n v="3"/>
    <n v="166250"/>
    <n v="126000"/>
    <n v="0.15"/>
    <x v="6"/>
    <s v="Delivered"/>
    <n v="498750"/>
    <x v="330"/>
    <n v="378000"/>
    <n v="45937.5"/>
    <m/>
  </r>
  <r>
    <s v="NG20250448"/>
    <x v="179"/>
    <s v="Wholesale"/>
    <s v="Ogun State"/>
    <s v="Abeokuta"/>
    <x v="0"/>
    <x v="1"/>
    <s v="USSD"/>
    <x v="2"/>
    <s v="Groceries"/>
    <n v="15"/>
    <n v="19425"/>
    <n v="14500"/>
    <n v="0"/>
    <x v="5"/>
    <s v="Delivered"/>
    <n v="291375"/>
    <x v="331"/>
    <n v="217500"/>
    <n v="73875"/>
    <m/>
  </r>
  <r>
    <s v="NG20250449"/>
    <x v="270"/>
    <s v="Retail"/>
    <s v="Edo State"/>
    <s v="Benin City"/>
    <x v="4"/>
    <x v="3"/>
    <s v="USSD"/>
    <x v="6"/>
    <s v="Electronics"/>
    <n v="1"/>
    <n v="198000"/>
    <n v="123500"/>
    <n v="0"/>
    <x v="4"/>
    <s v="Pending"/>
    <n v="198000"/>
    <x v="250"/>
    <n v="123500"/>
    <n v="74500"/>
    <m/>
  </r>
  <r>
    <s v="NG20250450"/>
    <x v="271"/>
    <s v="Retail"/>
    <s v="Enugu State"/>
    <s v="Enugu"/>
    <x v="2"/>
    <x v="2"/>
    <s v="Debit Card"/>
    <x v="5"/>
    <s v="Furniture"/>
    <n v="8"/>
    <n v="85500"/>
    <n v="65100"/>
    <n v="0"/>
    <x v="1"/>
    <s v="Delivered"/>
    <n v="684000"/>
    <x v="186"/>
    <n v="520800"/>
    <n v="163200"/>
    <m/>
  </r>
  <r>
    <s v="NG20250451"/>
    <x v="260"/>
    <s v="Wholesale"/>
    <s v="Oyo State"/>
    <s v="Ibadan"/>
    <x v="0"/>
    <x v="3"/>
    <s v="Debit Card"/>
    <x v="0"/>
    <s v="Fashion"/>
    <n v="3"/>
    <n v="22000"/>
    <n v="13000"/>
    <n v="0"/>
    <x v="7"/>
    <s v="Cancelled"/>
    <n v="66000"/>
    <x v="126"/>
    <n v="39000"/>
    <n v="27000"/>
    <m/>
  </r>
  <r>
    <s v="NG20250452"/>
    <x v="141"/>
    <s v="Wholesale"/>
    <s v="Oyo State"/>
    <s v="Ibadan"/>
    <x v="0"/>
    <x v="2"/>
    <s v="Debit Card"/>
    <x v="4"/>
    <s v="Home Appliances"/>
    <n v="2"/>
    <n v="50400"/>
    <n v="30000"/>
    <n v="0.1"/>
    <x v="2"/>
    <s v="Returned"/>
    <n v="100800"/>
    <x v="332"/>
    <n v="60000"/>
    <n v="30720"/>
    <m/>
  </r>
  <r>
    <s v="NG20250453"/>
    <x v="77"/>
    <s v="Corporate"/>
    <s v="Rivers State"/>
    <s v="Port Harcourt"/>
    <x v="4"/>
    <x v="1"/>
    <s v="Cash"/>
    <x v="10"/>
    <s v="Furniture"/>
    <n v="3"/>
    <n v="192500"/>
    <n v="126000"/>
    <n v="0"/>
    <x v="6"/>
    <s v="Cancelled"/>
    <n v="577500"/>
    <x v="333"/>
    <n v="378000"/>
    <n v="199500"/>
    <m/>
  </r>
  <r>
    <s v="NG20250454"/>
    <x v="265"/>
    <s v="Corporate"/>
    <s v="Plateau State"/>
    <s v="Jos"/>
    <x v="1"/>
    <x v="2"/>
    <s v="Debit Card"/>
    <x v="0"/>
    <s v="Fashion"/>
    <n v="3"/>
    <n v="22000"/>
    <n v="13650"/>
    <n v="0"/>
    <x v="2"/>
    <s v="Delivered"/>
    <n v="66000"/>
    <x v="126"/>
    <n v="40950"/>
    <n v="25050"/>
    <m/>
  </r>
  <r>
    <s v="NG20250455"/>
    <x v="135"/>
    <s v="Wholesale"/>
    <s v="Nasarawa State"/>
    <s v="Mararaba"/>
    <x v="1"/>
    <x v="1"/>
    <s v="USSD"/>
    <x v="0"/>
    <s v="Fashion"/>
    <n v="5"/>
    <n v="22000"/>
    <n v="13650"/>
    <n v="0"/>
    <x v="6"/>
    <s v="Delivered"/>
    <n v="110000"/>
    <x v="334"/>
    <n v="68250"/>
    <n v="41750"/>
    <m/>
  </r>
  <r>
    <s v="NG20250456"/>
    <x v="272"/>
    <s v="Retail"/>
    <s v="Lagos State"/>
    <s v="Lagos"/>
    <x v="0"/>
    <x v="2"/>
    <s v="Cash"/>
    <x v="6"/>
    <s v="Electronics"/>
    <n v="1"/>
    <n v="171000"/>
    <n v="130000"/>
    <n v="0.15"/>
    <x v="0"/>
    <s v="Returned"/>
    <n v="171000"/>
    <x v="169"/>
    <n v="130000"/>
    <n v="15350"/>
    <m/>
  </r>
  <r>
    <s v="NG20250457"/>
    <x v="247"/>
    <s v="Retail"/>
    <s v="Oyo State"/>
    <s v="Ibadan"/>
    <x v="0"/>
    <x v="0"/>
    <s v="Debit Card"/>
    <x v="3"/>
    <s v="Electronics"/>
    <n v="1"/>
    <n v="280000"/>
    <n v="199500"/>
    <n v="0"/>
    <x v="6"/>
    <s v="Cancelled"/>
    <n v="280000"/>
    <x v="226"/>
    <n v="199500"/>
    <n v="80500"/>
    <m/>
  </r>
  <r>
    <s v="NG20250458"/>
    <x v="53"/>
    <s v="Corporate"/>
    <s v="Rivers State"/>
    <s v="Port Harcourt"/>
    <x v="4"/>
    <x v="1"/>
    <s v="Cash"/>
    <x v="3"/>
    <s v="Electronics"/>
    <n v="12"/>
    <n v="280000"/>
    <n v="210000"/>
    <n v="0"/>
    <x v="6"/>
    <s v="Returned"/>
    <n v="3360000"/>
    <x v="335"/>
    <n v="2520000"/>
    <n v="840000"/>
    <m/>
  </r>
  <r>
    <s v="NG20250459"/>
    <x v="227"/>
    <s v="Wholesale"/>
    <s v="Ogun State"/>
    <s v="Abeokuta"/>
    <x v="0"/>
    <x v="3"/>
    <s v="Mobile Money"/>
    <x v="7"/>
    <s v="Groceries"/>
    <n v="1"/>
    <n v="99750"/>
    <n v="82000"/>
    <n v="0"/>
    <x v="1"/>
    <s v="Pending"/>
    <n v="99750"/>
    <x v="150"/>
    <n v="82000"/>
    <n v="17750"/>
    <m/>
  </r>
  <r>
    <s v="NG20250460"/>
    <x v="5"/>
    <s v="Corporate"/>
    <s v="Edo State"/>
    <s v="Benin City"/>
    <x v="4"/>
    <x v="3"/>
    <s v="Debit Card"/>
    <x v="6"/>
    <s v="Electronics"/>
    <n v="4"/>
    <n v="180000"/>
    <n v="136500"/>
    <n v="0.15"/>
    <x v="1"/>
    <s v="Cancelled"/>
    <n v="720000"/>
    <x v="336"/>
    <n v="546000"/>
    <n v="66000"/>
    <m/>
  </r>
  <r>
    <s v="NG20250461"/>
    <x v="34"/>
    <s v="Retail"/>
    <s v="FCT"/>
    <s v="Abuja"/>
    <x v="1"/>
    <x v="3"/>
    <s v="Bank Transfer"/>
    <x v="7"/>
    <s v="Groceries"/>
    <n v="6"/>
    <n v="95000"/>
    <n v="82000"/>
    <n v="0"/>
    <x v="7"/>
    <s v="Delivered"/>
    <n v="570000"/>
    <x v="337"/>
    <n v="492000"/>
    <n v="78000"/>
    <m/>
  </r>
  <r>
    <s v="NG20250462"/>
    <x v="137"/>
    <s v="Corporate"/>
    <s v="Ogun State"/>
    <s v="Abeokuta"/>
    <x v="0"/>
    <x v="0"/>
    <s v="USSD"/>
    <x v="7"/>
    <s v="Groceries"/>
    <n v="2"/>
    <n v="95000"/>
    <n v="77900"/>
    <n v="0.15"/>
    <x v="4"/>
    <s v="Pending"/>
    <n v="190000"/>
    <x v="338"/>
    <n v="155800"/>
    <n v="5700"/>
    <m/>
  </r>
  <r>
    <s v="NG20250463"/>
    <x v="273"/>
    <s v="Corporate"/>
    <s v="FCT"/>
    <s v="Abuja"/>
    <x v="1"/>
    <x v="1"/>
    <s v="Cash"/>
    <x v="2"/>
    <s v="Groceries"/>
    <n v="6"/>
    <n v="18500"/>
    <n v="14500"/>
    <n v="0"/>
    <x v="6"/>
    <s v="Cancelled"/>
    <n v="111000"/>
    <x v="205"/>
    <n v="87000"/>
    <n v="24000"/>
    <m/>
  </r>
  <r>
    <s v="NG20250464"/>
    <x v="261"/>
    <s v="Corporate"/>
    <s v="Edo State"/>
    <s v="Benin City"/>
    <x v="4"/>
    <x v="2"/>
    <s v="Mobile Money"/>
    <x v="9"/>
    <s v="Fashion"/>
    <n v="5"/>
    <n v="46200"/>
    <n v="27300"/>
    <n v="0"/>
    <x v="4"/>
    <s v="Delivered"/>
    <n v="231000"/>
    <x v="339"/>
    <n v="136500"/>
    <n v="94500"/>
    <m/>
  </r>
  <r>
    <s v="NG20250465"/>
    <x v="274"/>
    <s v="Retail"/>
    <s v="Rivers State"/>
    <s v="Port Harcourt"/>
    <x v="4"/>
    <x v="2"/>
    <s v="Debit Card"/>
    <x v="5"/>
    <s v="Furniture"/>
    <n v="6"/>
    <n v="104500"/>
    <n v="62000"/>
    <n v="0.05"/>
    <x v="3"/>
    <s v="Delivered"/>
    <n v="627000"/>
    <x v="340"/>
    <n v="372000"/>
    <n v="223650"/>
    <m/>
  </r>
  <r>
    <s v="NG20250466"/>
    <x v="76"/>
    <s v="Retail"/>
    <s v="Kaduna State"/>
    <s v="Kaduna"/>
    <x v="3"/>
    <x v="0"/>
    <s v="Mobile Money"/>
    <x v="0"/>
    <s v="Fashion"/>
    <n v="4"/>
    <n v="22000"/>
    <n v="13650"/>
    <n v="0"/>
    <x v="7"/>
    <s v="Delivered"/>
    <n v="88000"/>
    <x v="341"/>
    <n v="54600"/>
    <n v="33400"/>
    <m/>
  </r>
  <r>
    <s v="NG20250467"/>
    <x v="275"/>
    <s v="Retail"/>
    <s v="Oyo State"/>
    <s v="Ibadan"/>
    <x v="0"/>
    <x v="2"/>
    <s v="Bank Transfer"/>
    <x v="6"/>
    <s v="Electronics"/>
    <n v="2"/>
    <n v="171000"/>
    <n v="136500"/>
    <n v="0.15"/>
    <x v="1"/>
    <s v="Delivered"/>
    <n v="342000"/>
    <x v="342"/>
    <n v="273000"/>
    <n v="17700"/>
    <m/>
  </r>
  <r>
    <s v="NG20250468"/>
    <x v="130"/>
    <s v="Retail"/>
    <s v="Plateau State"/>
    <s v="Jos"/>
    <x v="1"/>
    <x v="3"/>
    <s v="Bank Transfer"/>
    <x v="11"/>
    <s v="Electronics"/>
    <n v="3"/>
    <n v="176000"/>
    <n v="120750"/>
    <n v="0"/>
    <x v="6"/>
    <s v="Returned"/>
    <n v="528000"/>
    <x v="290"/>
    <n v="362250"/>
    <n v="165750"/>
    <m/>
  </r>
  <r>
    <s v="NG20250469"/>
    <x v="4"/>
    <s v="Corporate"/>
    <s v="Nasarawa State"/>
    <s v="Mararaba"/>
    <x v="1"/>
    <x v="0"/>
    <s v="Bank Transfer"/>
    <x v="1"/>
    <s v="Electronics"/>
    <n v="6"/>
    <n v="405000"/>
    <n v="367500"/>
    <n v="0"/>
    <x v="5"/>
    <s v="Delivered"/>
    <n v="2430000"/>
    <x v="343"/>
    <n v="2205000"/>
    <n v="225000"/>
    <m/>
  </r>
  <r>
    <s v="NG20250470"/>
    <x v="99"/>
    <s v="Wholesale"/>
    <s v="Kaduna State"/>
    <s v="Kaduna"/>
    <x v="3"/>
    <x v="2"/>
    <s v="USSD"/>
    <x v="4"/>
    <s v="Home Appliances"/>
    <n v="2"/>
    <n v="43200"/>
    <n v="30000"/>
    <n v="0.05"/>
    <x v="0"/>
    <s v="Cancelled"/>
    <n v="86400"/>
    <x v="256"/>
    <n v="60000"/>
    <n v="22080"/>
    <m/>
  </r>
  <r>
    <s v="NG20250471"/>
    <x v="156"/>
    <s v="Retail"/>
    <s v="Nasarawa State"/>
    <s v="Mararaba"/>
    <x v="1"/>
    <x v="3"/>
    <s v="USSD"/>
    <x v="0"/>
    <s v="Fashion"/>
    <n v="12"/>
    <n v="20900"/>
    <n v="12350"/>
    <n v="0.15"/>
    <x v="4"/>
    <s v="Cancelled"/>
    <n v="250800"/>
    <x v="344"/>
    <n v="148200"/>
    <n v="64980"/>
    <m/>
  </r>
  <r>
    <s v="NG20250472"/>
    <x v="91"/>
    <s v="Corporate"/>
    <s v="Plateau State"/>
    <s v="Jos"/>
    <x v="1"/>
    <x v="3"/>
    <s v="Bank Transfer"/>
    <x v="11"/>
    <s v="Electronics"/>
    <n v="10"/>
    <n v="176000"/>
    <n v="115000"/>
    <n v="0"/>
    <x v="6"/>
    <s v="Returned"/>
    <n v="1760000"/>
    <x v="345"/>
    <n v="1150000"/>
    <n v="610000"/>
    <m/>
  </r>
  <r>
    <s v="NG20250473"/>
    <x v="131"/>
    <s v="Wholesale"/>
    <s v="Anambra State"/>
    <s v="Onitsha"/>
    <x v="2"/>
    <x v="1"/>
    <s v="Mobile Money"/>
    <x v="5"/>
    <s v="Furniture"/>
    <n v="1"/>
    <n v="104500"/>
    <n v="62000"/>
    <n v="0"/>
    <x v="6"/>
    <s v="Cancelled"/>
    <n v="104500"/>
    <x v="86"/>
    <n v="62000"/>
    <n v="42500"/>
    <m/>
  </r>
  <r>
    <s v="NG20250474"/>
    <x v="253"/>
    <s v="Wholesale"/>
    <s v="Oyo State"/>
    <s v="Ibadan"/>
    <x v="0"/>
    <x v="0"/>
    <s v="Bank Transfer"/>
    <x v="10"/>
    <s v="Furniture"/>
    <n v="2"/>
    <n v="175000"/>
    <n v="114000"/>
    <n v="0.15"/>
    <x v="2"/>
    <s v="Delivered"/>
    <n v="350000"/>
    <x v="268"/>
    <n v="228000"/>
    <n v="69500"/>
    <m/>
  </r>
  <r>
    <s v="NG20250475"/>
    <x v="217"/>
    <s v="Corporate"/>
    <s v="Ogun State"/>
    <s v="Abeokuta"/>
    <x v="0"/>
    <x v="3"/>
    <s v="USSD"/>
    <x v="0"/>
    <s v="Fashion"/>
    <n v="5"/>
    <n v="24200"/>
    <n v="12350"/>
    <n v="0"/>
    <x v="5"/>
    <s v="Delivered"/>
    <n v="121000"/>
    <x v="346"/>
    <n v="61750"/>
    <n v="59250"/>
    <m/>
  </r>
  <r>
    <s v="NG20250476"/>
    <x v="240"/>
    <s v="Wholesale"/>
    <s v="Edo State"/>
    <s v="Benin City"/>
    <x v="4"/>
    <x v="1"/>
    <s v="Mobile Money"/>
    <x v="1"/>
    <s v="Electronics"/>
    <n v="3"/>
    <n v="472500"/>
    <n v="350000"/>
    <n v="0"/>
    <x v="4"/>
    <s v="Pending"/>
    <n v="1417500"/>
    <x v="347"/>
    <n v="1050000"/>
    <n v="367500"/>
    <m/>
  </r>
  <r>
    <s v="NG20250477"/>
    <x v="276"/>
    <s v="Wholesale"/>
    <s v="Edo State"/>
    <s v="Benin City"/>
    <x v="4"/>
    <x v="1"/>
    <s v="Debit Card"/>
    <x v="7"/>
    <s v="Groceries"/>
    <n v="3"/>
    <n v="95000"/>
    <n v="82000"/>
    <n v="0.1"/>
    <x v="6"/>
    <s v="Delivered"/>
    <n v="285000"/>
    <x v="122"/>
    <n v="246000"/>
    <n v="10500"/>
    <m/>
  </r>
  <r>
    <s v="NG20250478"/>
    <x v="88"/>
    <s v="Retail"/>
    <s v="Enugu State"/>
    <s v="Enugu"/>
    <x v="2"/>
    <x v="1"/>
    <s v="Cash"/>
    <x v="3"/>
    <s v="Electronics"/>
    <n v="1"/>
    <n v="280000"/>
    <n v="210000"/>
    <n v="0.1"/>
    <x v="7"/>
    <s v="Pending"/>
    <n v="280000"/>
    <x v="240"/>
    <n v="210000"/>
    <n v="42000"/>
    <m/>
  </r>
  <r>
    <s v="NG20250479"/>
    <x v="277"/>
    <s v="Wholesale"/>
    <s v="Plateau State"/>
    <s v="Jos"/>
    <x v="1"/>
    <x v="1"/>
    <s v="Cash"/>
    <x v="2"/>
    <s v="Groceries"/>
    <n v="6"/>
    <n v="17575"/>
    <n v="14500"/>
    <n v="0.15"/>
    <x v="1"/>
    <s v="Returned"/>
    <n v="105450"/>
    <x v="348"/>
    <n v="87000"/>
    <n v="2632.5"/>
    <m/>
  </r>
  <r>
    <s v="NG20250480"/>
    <x v="76"/>
    <s v="Retail"/>
    <s v="Ogun State"/>
    <s v="Abeokuta"/>
    <x v="0"/>
    <x v="0"/>
    <s v="Bank Transfer"/>
    <x v="7"/>
    <s v="Groceries"/>
    <n v="4"/>
    <n v="95000"/>
    <n v="86100"/>
    <n v="0.15"/>
    <x v="6"/>
    <s v="Delivered"/>
    <n v="380000"/>
    <x v="141"/>
    <n v="344400"/>
    <n v="-21400"/>
    <m/>
  </r>
  <r>
    <s v="NG20250481"/>
    <x v="278"/>
    <s v="Wholesale"/>
    <s v="Lagos State"/>
    <s v="Lagos"/>
    <x v="0"/>
    <x v="1"/>
    <s v="USSD"/>
    <x v="6"/>
    <s v="Electronics"/>
    <n v="2"/>
    <n v="180000"/>
    <n v="130000"/>
    <n v="0"/>
    <x v="4"/>
    <s v="Cancelled"/>
    <n v="360000"/>
    <x v="112"/>
    <n v="260000"/>
    <n v="100000"/>
    <m/>
  </r>
  <r>
    <s v="NG20250482"/>
    <x v="92"/>
    <s v="Corporate"/>
    <s v="Plateau State"/>
    <s v="Jos"/>
    <x v="1"/>
    <x v="0"/>
    <s v="USSD"/>
    <x v="1"/>
    <s v="Electronics"/>
    <n v="2"/>
    <n v="472500"/>
    <n v="332500"/>
    <n v="0"/>
    <x v="7"/>
    <s v="Returned"/>
    <n v="945000"/>
    <x v="349"/>
    <n v="665000"/>
    <n v="280000"/>
    <m/>
  </r>
  <r>
    <s v="NG20250483"/>
    <x v="13"/>
    <s v="Corporate"/>
    <s v="Enugu State"/>
    <s v="Enugu"/>
    <x v="2"/>
    <x v="0"/>
    <s v="Bank Transfer"/>
    <x v="10"/>
    <s v="Furniture"/>
    <n v="6"/>
    <n v="175000"/>
    <n v="120000"/>
    <n v="0.15"/>
    <x v="4"/>
    <s v="Cancelled"/>
    <n v="1050000"/>
    <x v="350"/>
    <n v="720000"/>
    <n v="172500"/>
    <m/>
  </r>
  <r>
    <s v="NG20250484"/>
    <x v="279"/>
    <s v="Corporate"/>
    <s v="FCT"/>
    <s v="Abuja"/>
    <x v="1"/>
    <x v="2"/>
    <s v="Cash"/>
    <x v="3"/>
    <s v="Electronics"/>
    <n v="12"/>
    <n v="252000"/>
    <n v="199500"/>
    <n v="0.15"/>
    <x v="5"/>
    <s v="Cancelled"/>
    <n v="3024000"/>
    <x v="351"/>
    <n v="2394000"/>
    <n v="176400"/>
    <m/>
  </r>
  <r>
    <s v="NG20250485"/>
    <x v="29"/>
    <s v="Wholesale"/>
    <s v="Rivers State"/>
    <s v="Port Harcourt"/>
    <x v="4"/>
    <x v="3"/>
    <s v="USSD"/>
    <x v="2"/>
    <s v="Groceries"/>
    <n v="12"/>
    <n v="18500"/>
    <n v="15225"/>
    <n v="0.15"/>
    <x v="0"/>
    <s v="Returned"/>
    <n v="222000"/>
    <x v="352"/>
    <n v="182700"/>
    <n v="6000"/>
    <m/>
  </r>
  <r>
    <s v="NG20250486"/>
    <x v="159"/>
    <s v="Retail"/>
    <s v="Ogun State"/>
    <s v="Abeokuta"/>
    <x v="0"/>
    <x v="1"/>
    <s v="Debit Card"/>
    <x v="3"/>
    <s v="Electronics"/>
    <n v="6"/>
    <n v="280000"/>
    <n v="220500"/>
    <n v="0.1"/>
    <x v="2"/>
    <s v="Returned"/>
    <n v="1680000"/>
    <x v="353"/>
    <n v="1323000"/>
    <n v="189000"/>
    <m/>
  </r>
  <r>
    <s v="NG20250487"/>
    <x v="280"/>
    <s v="Retail"/>
    <s v="Plateau State"/>
    <s v="Jos"/>
    <x v="1"/>
    <x v="2"/>
    <s v="USSD"/>
    <x v="7"/>
    <s v="Groceries"/>
    <n v="8"/>
    <n v="95000"/>
    <n v="86100"/>
    <n v="0.15"/>
    <x v="4"/>
    <s v="Cancelled"/>
    <n v="760000"/>
    <x v="211"/>
    <n v="688800"/>
    <n v="-42800"/>
    <m/>
  </r>
  <r>
    <s v="NG20250488"/>
    <x v="281"/>
    <s v="Wholesale"/>
    <s v="Kaduna State"/>
    <s v="Kaduna"/>
    <x v="3"/>
    <x v="0"/>
    <s v="Mobile Money"/>
    <x v="10"/>
    <s v="Furniture"/>
    <n v="3"/>
    <n v="175000"/>
    <n v="114000"/>
    <n v="0.15"/>
    <x v="6"/>
    <s v="Delivered"/>
    <n v="525000"/>
    <x v="184"/>
    <n v="342000"/>
    <n v="104250"/>
    <m/>
  </r>
  <r>
    <s v="NG20250489"/>
    <x v="164"/>
    <s v="Corporate"/>
    <s v="Lagos State"/>
    <s v="Lagos"/>
    <x v="0"/>
    <x v="2"/>
    <s v="Bank Transfer"/>
    <x v="5"/>
    <s v="Furniture"/>
    <n v="2"/>
    <n v="90250"/>
    <n v="62000"/>
    <n v="0"/>
    <x v="7"/>
    <s v="Returned"/>
    <n v="180500"/>
    <x v="80"/>
    <n v="124000"/>
    <n v="56500"/>
    <m/>
  </r>
  <r>
    <s v="NG20250490"/>
    <x v="282"/>
    <s v="Corporate"/>
    <s v="Plateau State"/>
    <s v="Jos"/>
    <x v="1"/>
    <x v="3"/>
    <s v="Bank Transfer"/>
    <x v="8"/>
    <s v="Home Appliances"/>
    <n v="1"/>
    <n v="125000"/>
    <n v="85000"/>
    <n v="0.1"/>
    <x v="0"/>
    <s v="Delivered"/>
    <n v="125000"/>
    <x v="354"/>
    <n v="85000"/>
    <n v="27500"/>
    <m/>
  </r>
  <r>
    <s v="NG20250491"/>
    <x v="152"/>
    <s v="Wholesale"/>
    <s v="FCT"/>
    <s v="Abuja"/>
    <x v="1"/>
    <x v="0"/>
    <s v="Mobile Money"/>
    <x v="2"/>
    <s v="Groceries"/>
    <n v="5"/>
    <n v="19425"/>
    <n v="14500"/>
    <n v="0.05"/>
    <x v="4"/>
    <s v="Pending"/>
    <n v="97125"/>
    <x v="355"/>
    <n v="72500"/>
    <n v="19768.75"/>
    <m/>
  </r>
  <r>
    <s v="NG20250492"/>
    <x v="203"/>
    <s v="Corporate"/>
    <s v="Edo State"/>
    <s v="Benin City"/>
    <x v="4"/>
    <x v="1"/>
    <s v="Bank Transfer"/>
    <x v="1"/>
    <s v="Electronics"/>
    <n v="6"/>
    <n v="450000"/>
    <n v="332500"/>
    <n v="0"/>
    <x v="5"/>
    <s v="Delivered"/>
    <n v="2700000"/>
    <x v="170"/>
    <n v="1995000"/>
    <n v="705000"/>
    <m/>
  </r>
  <r>
    <s v="NG20250493"/>
    <x v="61"/>
    <s v="Retail"/>
    <s v="Rivers State"/>
    <s v="Port Harcourt"/>
    <x v="4"/>
    <x v="3"/>
    <s v="Mobile Money"/>
    <x v="9"/>
    <s v="Fashion"/>
    <n v="8"/>
    <n v="37800"/>
    <n v="27300"/>
    <n v="0"/>
    <x v="6"/>
    <s v="Cancelled"/>
    <n v="302400"/>
    <x v="356"/>
    <n v="218400"/>
    <n v="84000"/>
    <m/>
  </r>
  <r>
    <s v="NG20250494"/>
    <x v="283"/>
    <s v="Wholesale"/>
    <s v="Enugu State"/>
    <s v="Enugu"/>
    <x v="2"/>
    <x v="0"/>
    <s v="Cash"/>
    <x v="10"/>
    <s v="Furniture"/>
    <n v="5"/>
    <n v="166250"/>
    <n v="114000"/>
    <n v="0.15"/>
    <x v="0"/>
    <s v="Pending"/>
    <n v="831250"/>
    <x v="357"/>
    <n v="570000"/>
    <n v="136562.5"/>
    <m/>
  </r>
  <r>
    <s v="NG20250495"/>
    <x v="128"/>
    <s v="Retail"/>
    <s v="Kano State"/>
    <s v="Kano"/>
    <x v="3"/>
    <x v="1"/>
    <s v="Debit Card"/>
    <x v="5"/>
    <s v="Furniture"/>
    <n v="1"/>
    <n v="95000"/>
    <n v="58900"/>
    <n v="0.05"/>
    <x v="3"/>
    <s v="Returned"/>
    <n v="95000"/>
    <x v="358"/>
    <n v="58900"/>
    <n v="31350"/>
    <m/>
  </r>
  <r>
    <s v="NG20250496"/>
    <x v="87"/>
    <s v="Retail"/>
    <s v="Enugu State"/>
    <s v="Enugu"/>
    <x v="2"/>
    <x v="1"/>
    <s v="USSD"/>
    <x v="4"/>
    <s v="Home Appliances"/>
    <n v="3"/>
    <n v="50400"/>
    <n v="30000"/>
    <n v="0"/>
    <x v="5"/>
    <s v="Cancelled"/>
    <n v="151200"/>
    <x v="224"/>
    <n v="90000"/>
    <n v="61200"/>
    <m/>
  </r>
  <r>
    <s v="NG20250497"/>
    <x v="16"/>
    <s v="Corporate"/>
    <s v="Anambra State"/>
    <s v="Onitsha"/>
    <x v="2"/>
    <x v="3"/>
    <s v="Mobile Money"/>
    <x v="7"/>
    <s v="Groceries"/>
    <n v="15"/>
    <n v="95000"/>
    <n v="82000"/>
    <n v="0"/>
    <x v="3"/>
    <s v="Delivered"/>
    <n v="1425000"/>
    <x v="162"/>
    <n v="1230000"/>
    <n v="195000"/>
    <m/>
  </r>
  <r>
    <s v="NG20250498"/>
    <x v="76"/>
    <s v="Wholesale"/>
    <s v="Rivers State"/>
    <s v="Port Harcourt"/>
    <x v="4"/>
    <x v="0"/>
    <s v="Debit Card"/>
    <x v="3"/>
    <s v="Electronics"/>
    <n v="3"/>
    <n v="280000"/>
    <n v="210000"/>
    <n v="0"/>
    <x v="6"/>
    <s v="Delivered"/>
    <n v="840000"/>
    <x v="190"/>
    <n v="630000"/>
    <n v="210000"/>
    <m/>
  </r>
  <r>
    <s v="NG20250499"/>
    <x v="74"/>
    <s v="Retail"/>
    <s v="Anambra State"/>
    <s v="Onitsha"/>
    <x v="2"/>
    <x v="2"/>
    <s v="Cash"/>
    <x v="10"/>
    <s v="Furniture"/>
    <n v="8"/>
    <n v="192500"/>
    <n v="126000"/>
    <n v="0.1"/>
    <x v="2"/>
    <s v="Pending"/>
    <n v="1540000"/>
    <x v="359"/>
    <n v="1008000"/>
    <n v="378000"/>
    <m/>
  </r>
  <r>
    <s v="NG20250500"/>
    <x v="284"/>
    <s v="Corporate"/>
    <s v="Edo State"/>
    <s v="Benin City"/>
    <x v="4"/>
    <x v="0"/>
    <s v="Debit Card"/>
    <x v="6"/>
    <s v="Electronics"/>
    <n v="8"/>
    <n v="162000"/>
    <n v="123500"/>
    <n v="0"/>
    <x v="3"/>
    <s v="Delivered"/>
    <n v="1296000"/>
    <x v="360"/>
    <n v="988000"/>
    <n v="308000"/>
    <m/>
  </r>
  <r>
    <s v="NG20250501"/>
    <x v="27"/>
    <s v="Retail"/>
    <s v="Kaduna State"/>
    <s v="Kaduna"/>
    <x v="3"/>
    <x v="3"/>
    <s v="Mobile Money"/>
    <x v="5"/>
    <s v="Furniture"/>
    <n v="3"/>
    <n v="95000"/>
    <n v="62000"/>
    <n v="0.15"/>
    <x v="1"/>
    <s v="Delivered"/>
    <n v="285000"/>
    <x v="125"/>
    <n v="186000"/>
    <n v="56250"/>
    <m/>
  </r>
  <r>
    <s v="NG20250502"/>
    <x v="25"/>
    <s v="Wholesale"/>
    <s v="Edo State"/>
    <s v="Benin City"/>
    <x v="4"/>
    <x v="0"/>
    <s v="Debit Card"/>
    <x v="2"/>
    <s v="Groceries"/>
    <n v="15"/>
    <n v="19425"/>
    <n v="13775"/>
    <n v="0.05"/>
    <x v="6"/>
    <s v="Returned"/>
    <n v="291375"/>
    <x v="361"/>
    <n v="206625"/>
    <n v="70181.25"/>
    <m/>
  </r>
  <r>
    <s v="NG20250503"/>
    <x v="224"/>
    <s v="Retail"/>
    <s v="Nasarawa State"/>
    <s v="Mararaba"/>
    <x v="1"/>
    <x v="0"/>
    <s v="USSD"/>
    <x v="1"/>
    <s v="Electronics"/>
    <n v="2"/>
    <n v="472500"/>
    <n v="350000"/>
    <n v="0"/>
    <x v="4"/>
    <s v="Returned"/>
    <n v="945000"/>
    <x v="349"/>
    <n v="700000"/>
    <n v="245000"/>
    <m/>
  </r>
  <r>
    <s v="NG20250504"/>
    <x v="248"/>
    <s v="Retail"/>
    <s v="Rivers State"/>
    <s v="Port Harcourt"/>
    <x v="4"/>
    <x v="1"/>
    <s v="Mobile Money"/>
    <x v="0"/>
    <s v="Fashion"/>
    <n v="3"/>
    <n v="19800"/>
    <n v="12350"/>
    <n v="0"/>
    <x v="3"/>
    <s v="Pending"/>
    <n v="59400"/>
    <x v="362"/>
    <n v="37050"/>
    <n v="22350"/>
    <m/>
  </r>
  <r>
    <s v="NG20250505"/>
    <x v="1"/>
    <s v="Corporate"/>
    <s v="Kaduna State"/>
    <s v="Kaduna"/>
    <x v="3"/>
    <x v="0"/>
    <s v="Bank Transfer"/>
    <x v="10"/>
    <s v="Furniture"/>
    <n v="8"/>
    <n v="175000"/>
    <n v="114000"/>
    <n v="0"/>
    <x v="5"/>
    <s v="Cancelled"/>
    <n v="1400000"/>
    <x v="265"/>
    <n v="912000"/>
    <n v="488000"/>
    <m/>
  </r>
  <r>
    <s v="NG20250506"/>
    <x v="138"/>
    <s v="Corporate"/>
    <s v="Nasarawa State"/>
    <s v="Mararaba"/>
    <x v="1"/>
    <x v="3"/>
    <s v="Debit Card"/>
    <x v="7"/>
    <s v="Groceries"/>
    <n v="2"/>
    <n v="95000"/>
    <n v="82000"/>
    <n v="0"/>
    <x v="5"/>
    <s v="Returned"/>
    <n v="190000"/>
    <x v="8"/>
    <n v="164000"/>
    <n v="26000"/>
    <m/>
  </r>
  <r>
    <s v="NG20250507"/>
    <x v="212"/>
    <s v="Corporate"/>
    <s v="Nasarawa State"/>
    <s v="Mararaba"/>
    <x v="1"/>
    <x v="2"/>
    <s v="Cash"/>
    <x v="7"/>
    <s v="Groceries"/>
    <n v="6"/>
    <n v="99750"/>
    <n v="82000"/>
    <n v="0.05"/>
    <x v="2"/>
    <s v="Cancelled"/>
    <n v="598500"/>
    <x v="363"/>
    <n v="492000"/>
    <n v="76575"/>
    <m/>
  </r>
  <r>
    <s v="NG20250508"/>
    <x v="192"/>
    <s v="Wholesale"/>
    <s v="Rivers State"/>
    <s v="Port Harcourt"/>
    <x v="4"/>
    <x v="2"/>
    <s v="USSD"/>
    <x v="4"/>
    <s v="Home Appliances"/>
    <n v="1"/>
    <n v="50400"/>
    <n v="30000"/>
    <n v="0.1"/>
    <x v="5"/>
    <s v="Cancelled"/>
    <n v="50400"/>
    <x v="364"/>
    <n v="30000"/>
    <n v="15360"/>
    <m/>
  </r>
  <r>
    <s v="NG20250509"/>
    <x v="285"/>
    <s v="Retail"/>
    <s v="Ogun State"/>
    <s v="Abeokuta"/>
    <x v="0"/>
    <x v="2"/>
    <s v="Mobile Money"/>
    <x v="2"/>
    <s v="Groceries"/>
    <n v="3"/>
    <n v="18500"/>
    <n v="14500"/>
    <n v="0.05"/>
    <x v="5"/>
    <s v="Delivered"/>
    <n v="55500"/>
    <x v="365"/>
    <n v="43500"/>
    <n v="9225"/>
    <m/>
  </r>
  <r>
    <s v="NG20250510"/>
    <x v="74"/>
    <s v="Wholesale"/>
    <s v="Nasarawa State"/>
    <s v="Mararaba"/>
    <x v="1"/>
    <x v="2"/>
    <s v="Debit Card"/>
    <x v="6"/>
    <s v="Electronics"/>
    <n v="5"/>
    <n v="180000"/>
    <n v="130000"/>
    <n v="0.05"/>
    <x v="3"/>
    <s v="Returned"/>
    <n v="900000"/>
    <x v="31"/>
    <n v="650000"/>
    <n v="205000"/>
    <m/>
  </r>
  <r>
    <s v="NG20250511"/>
    <x v="74"/>
    <s v="Retail"/>
    <s v="Enugu State"/>
    <s v="Enugu"/>
    <x v="2"/>
    <x v="3"/>
    <s v="USSD"/>
    <x v="7"/>
    <s v="Groceries"/>
    <n v="12"/>
    <n v="85500"/>
    <n v="82000"/>
    <n v="0"/>
    <x v="0"/>
    <s v="Returned"/>
    <n v="1026000"/>
    <x v="366"/>
    <n v="984000"/>
    <n v="42000"/>
    <m/>
  </r>
  <r>
    <s v="NG20250512"/>
    <x v="274"/>
    <s v="Retail"/>
    <s v="Kaduna State"/>
    <s v="Kaduna"/>
    <x v="3"/>
    <x v="2"/>
    <s v="Bank Transfer"/>
    <x v="5"/>
    <s v="Furniture"/>
    <n v="6"/>
    <n v="104500"/>
    <n v="62000"/>
    <n v="0"/>
    <x v="4"/>
    <s v="Delivered"/>
    <n v="627000"/>
    <x v="316"/>
    <n v="372000"/>
    <n v="255000"/>
    <m/>
  </r>
  <r>
    <s v="NG20250513"/>
    <x v="236"/>
    <s v="Corporate"/>
    <s v="Anambra State"/>
    <s v="Onitsha"/>
    <x v="2"/>
    <x v="0"/>
    <s v="USSD"/>
    <x v="2"/>
    <s v="Groceries"/>
    <n v="4"/>
    <n v="18500"/>
    <n v="14500"/>
    <n v="0"/>
    <x v="6"/>
    <s v="Delivered"/>
    <n v="74000"/>
    <x v="367"/>
    <n v="58000"/>
    <n v="16000"/>
    <m/>
  </r>
  <r>
    <s v="NG20250514"/>
    <x v="246"/>
    <s v="Corporate"/>
    <s v="Anambra State"/>
    <s v="Onitsha"/>
    <x v="2"/>
    <x v="2"/>
    <s v="Cash"/>
    <x v="7"/>
    <s v="Groceries"/>
    <n v="3"/>
    <n v="99750"/>
    <n v="82000"/>
    <n v="0"/>
    <x v="5"/>
    <s v="Pending"/>
    <n v="299250"/>
    <x v="325"/>
    <n v="246000"/>
    <n v="53250"/>
    <m/>
  </r>
  <r>
    <s v="NG20250515"/>
    <x v="89"/>
    <s v="Wholesale"/>
    <s v="Lagos State"/>
    <s v="Lagos"/>
    <x v="0"/>
    <x v="2"/>
    <s v="Cash"/>
    <x v="11"/>
    <s v="Electronics"/>
    <n v="3"/>
    <n v="144000"/>
    <n v="115000"/>
    <n v="0.05"/>
    <x v="3"/>
    <s v="Returned"/>
    <n v="432000"/>
    <x v="368"/>
    <n v="345000"/>
    <n v="65400"/>
    <m/>
  </r>
  <r>
    <s v="NG20250516"/>
    <x v="53"/>
    <s v="Corporate"/>
    <s v="Kaduna State"/>
    <s v="Kaduna"/>
    <x v="3"/>
    <x v="0"/>
    <s v="Mobile Money"/>
    <x v="6"/>
    <s v="Electronics"/>
    <n v="8"/>
    <n v="180000"/>
    <n v="130000"/>
    <n v="0.05"/>
    <x v="0"/>
    <s v="Pending"/>
    <n v="1440000"/>
    <x v="270"/>
    <n v="1040000"/>
    <n v="328000"/>
    <m/>
  </r>
  <r>
    <s v="NG20250517"/>
    <x v="209"/>
    <s v="Corporate"/>
    <s v="Plateau State"/>
    <s v="Jos"/>
    <x v="1"/>
    <x v="0"/>
    <s v="Cash"/>
    <x v="9"/>
    <s v="Fashion"/>
    <n v="3"/>
    <n v="44100"/>
    <n v="24700"/>
    <n v="0.1"/>
    <x v="0"/>
    <s v="Pending"/>
    <n v="132300"/>
    <x v="235"/>
    <n v="74100"/>
    <n v="44970"/>
    <m/>
  </r>
  <r>
    <s v="NG20250518"/>
    <x v="286"/>
    <s v="Corporate"/>
    <s v="Lagos State"/>
    <s v="Lagos"/>
    <x v="0"/>
    <x v="3"/>
    <s v="Debit Card"/>
    <x v="9"/>
    <s v="Fashion"/>
    <n v="4"/>
    <n v="42000"/>
    <n v="24700"/>
    <n v="0"/>
    <x v="1"/>
    <s v="Pending"/>
    <n v="168000"/>
    <x v="102"/>
    <n v="98800"/>
    <n v="69200"/>
    <m/>
  </r>
  <r>
    <s v="NG20250519"/>
    <x v="111"/>
    <s v="Retail"/>
    <s v="Kano State"/>
    <s v="Kano"/>
    <x v="3"/>
    <x v="0"/>
    <s v="Cash"/>
    <x v="6"/>
    <s v="Electronics"/>
    <n v="2"/>
    <n v="162000"/>
    <n v="130000"/>
    <n v="0.05"/>
    <x v="6"/>
    <s v="Pending"/>
    <n v="324000"/>
    <x v="369"/>
    <n v="260000"/>
    <n v="47800"/>
    <m/>
  </r>
  <r>
    <s v="NG20250520"/>
    <x v="287"/>
    <s v="Retail"/>
    <s v="Kano State"/>
    <s v="Kano"/>
    <x v="3"/>
    <x v="1"/>
    <s v="Bank Transfer"/>
    <x v="4"/>
    <s v="Home Appliances"/>
    <n v="2"/>
    <n v="43200"/>
    <n v="30000"/>
    <n v="0.05"/>
    <x v="4"/>
    <s v="Returned"/>
    <n v="86400"/>
    <x v="256"/>
    <n v="60000"/>
    <n v="22080"/>
    <m/>
  </r>
  <r>
    <s v="NG20250521"/>
    <x v="288"/>
    <s v="Retail"/>
    <s v="Edo State"/>
    <s v="Benin City"/>
    <x v="4"/>
    <x v="1"/>
    <s v="Debit Card"/>
    <x v="10"/>
    <s v="Furniture"/>
    <n v="5"/>
    <n v="183750"/>
    <n v="120000"/>
    <n v="0.15"/>
    <x v="3"/>
    <s v="Delivered"/>
    <n v="918750"/>
    <x v="370"/>
    <n v="600000"/>
    <n v="180937.5"/>
    <m/>
  </r>
  <r>
    <s v="NG20250522"/>
    <x v="156"/>
    <s v="Retail"/>
    <s v="Edo State"/>
    <s v="Benin City"/>
    <x v="4"/>
    <x v="2"/>
    <s v="Debit Card"/>
    <x v="7"/>
    <s v="Groceries"/>
    <n v="3"/>
    <n v="104500"/>
    <n v="82000"/>
    <n v="0.05"/>
    <x v="6"/>
    <s v="Pending"/>
    <n v="313500"/>
    <x v="299"/>
    <n v="246000"/>
    <n v="51825"/>
    <m/>
  </r>
  <r>
    <s v="NG20250523"/>
    <x v="210"/>
    <s v="Wholesale"/>
    <s v="Ogun State"/>
    <s v="Abeokuta"/>
    <x v="0"/>
    <x v="1"/>
    <s v="Debit Card"/>
    <x v="6"/>
    <s v="Electronics"/>
    <n v="1"/>
    <n v="189000"/>
    <n v="123500"/>
    <n v="0.05"/>
    <x v="6"/>
    <s v="Delivered"/>
    <n v="189000"/>
    <x v="371"/>
    <n v="123500"/>
    <n v="56050"/>
    <m/>
  </r>
  <r>
    <s v="NG20250524"/>
    <x v="289"/>
    <s v="Corporate"/>
    <s v="Ogun State"/>
    <s v="Abeokuta"/>
    <x v="0"/>
    <x v="0"/>
    <s v="Mobile Money"/>
    <x v="3"/>
    <s v="Electronics"/>
    <n v="12"/>
    <n v="252000"/>
    <n v="210000"/>
    <n v="0"/>
    <x v="1"/>
    <s v="Pending"/>
    <n v="3024000"/>
    <x v="372"/>
    <n v="2520000"/>
    <n v="504000"/>
    <m/>
  </r>
  <r>
    <s v="NG20250525"/>
    <x v="31"/>
    <s v="Wholesale"/>
    <s v="FCT"/>
    <s v="Abuja"/>
    <x v="1"/>
    <x v="0"/>
    <s v="Cash"/>
    <x v="11"/>
    <s v="Electronics"/>
    <n v="4"/>
    <n v="160000"/>
    <n v="120750"/>
    <n v="0.05"/>
    <x v="4"/>
    <s v="Delivered"/>
    <n v="640000"/>
    <x v="247"/>
    <n v="483000"/>
    <n v="125000"/>
    <m/>
  </r>
  <r>
    <s v="NG20250526"/>
    <x v="290"/>
    <s v="Retail"/>
    <s v="Rivers State"/>
    <s v="Port Harcourt"/>
    <x v="4"/>
    <x v="3"/>
    <s v="Bank Transfer"/>
    <x v="2"/>
    <s v="Groceries"/>
    <n v="4"/>
    <n v="20350"/>
    <n v="14500"/>
    <n v="0"/>
    <x v="6"/>
    <s v="Delivered"/>
    <n v="81400"/>
    <x v="373"/>
    <n v="58000"/>
    <n v="23400"/>
    <m/>
  </r>
  <r>
    <s v="NG20250527"/>
    <x v="291"/>
    <s v="Retail"/>
    <s v="Rivers State"/>
    <s v="Port Harcourt"/>
    <x v="4"/>
    <x v="1"/>
    <s v="Cash"/>
    <x v="1"/>
    <s v="Electronics"/>
    <n v="4"/>
    <n v="450000"/>
    <n v="350000"/>
    <n v="0"/>
    <x v="6"/>
    <s v="Delivered"/>
    <n v="1800000"/>
    <x v="27"/>
    <n v="1400000"/>
    <n v="400000"/>
    <m/>
  </r>
  <r>
    <s v="NG20250528"/>
    <x v="292"/>
    <s v="Retail"/>
    <s v="Nasarawa State"/>
    <s v="Mararaba"/>
    <x v="1"/>
    <x v="0"/>
    <s v="Debit Card"/>
    <x v="0"/>
    <s v="Fashion"/>
    <n v="4"/>
    <n v="23100"/>
    <n v="13000"/>
    <n v="0.05"/>
    <x v="2"/>
    <s v="Delivered"/>
    <n v="92400"/>
    <x v="374"/>
    <n v="52000"/>
    <n v="35780"/>
    <m/>
  </r>
  <r>
    <s v="NG20250529"/>
    <x v="65"/>
    <s v="Corporate"/>
    <s v="Kano State"/>
    <s v="Kano"/>
    <x v="3"/>
    <x v="2"/>
    <s v="Bank Transfer"/>
    <x v="10"/>
    <s v="Furniture"/>
    <n v="8"/>
    <n v="192500"/>
    <n v="126000"/>
    <n v="0.1"/>
    <x v="4"/>
    <s v="Delivered"/>
    <n v="1540000"/>
    <x v="359"/>
    <n v="1008000"/>
    <n v="378000"/>
    <m/>
  </r>
  <r>
    <s v="NG20250530"/>
    <x v="13"/>
    <s v="Wholesale"/>
    <s v="Enugu State"/>
    <s v="Enugu"/>
    <x v="2"/>
    <x v="0"/>
    <s v="USSD"/>
    <x v="10"/>
    <s v="Furniture"/>
    <n v="3"/>
    <n v="166250"/>
    <n v="120000"/>
    <n v="0.1"/>
    <x v="4"/>
    <s v="Delivered"/>
    <n v="498750"/>
    <x v="279"/>
    <n v="360000"/>
    <n v="88875"/>
    <m/>
  </r>
  <r>
    <s v="NG20250531"/>
    <x v="213"/>
    <s v="Corporate"/>
    <s v="Anambra State"/>
    <s v="Onitsha"/>
    <x v="2"/>
    <x v="1"/>
    <s v="USSD"/>
    <x v="4"/>
    <s v="Home Appliances"/>
    <n v="8"/>
    <n v="48000"/>
    <n v="30000"/>
    <n v="0"/>
    <x v="6"/>
    <s v="Cancelled"/>
    <n v="384000"/>
    <x v="209"/>
    <n v="240000"/>
    <n v="144000"/>
    <m/>
  </r>
  <r>
    <s v="NG20250532"/>
    <x v="293"/>
    <s v="Wholesale"/>
    <s v="FCT"/>
    <s v="Abuja"/>
    <x v="1"/>
    <x v="0"/>
    <s v="Cash"/>
    <x v="2"/>
    <s v="Groceries"/>
    <n v="5"/>
    <n v="17575"/>
    <n v="13775"/>
    <n v="0"/>
    <x v="0"/>
    <s v="Pending"/>
    <n v="87875"/>
    <x v="144"/>
    <n v="68875"/>
    <n v="19000"/>
    <m/>
  </r>
  <r>
    <s v="NG20250533"/>
    <x v="294"/>
    <s v="Wholesale"/>
    <s v="Lagos State"/>
    <s v="Lagos"/>
    <x v="0"/>
    <x v="3"/>
    <s v="Debit Card"/>
    <x v="4"/>
    <s v="Home Appliances"/>
    <n v="2"/>
    <n v="48000"/>
    <n v="30000"/>
    <n v="0"/>
    <x v="3"/>
    <s v="Delivered"/>
    <n v="96000"/>
    <x v="71"/>
    <n v="60000"/>
    <n v="36000"/>
    <m/>
  </r>
  <r>
    <s v="NG20250534"/>
    <x v="236"/>
    <s v="Corporate"/>
    <s v="Nasarawa State"/>
    <s v="Mararaba"/>
    <x v="1"/>
    <x v="1"/>
    <s v="Mobile Money"/>
    <x v="5"/>
    <s v="Furniture"/>
    <n v="3"/>
    <n v="95000"/>
    <n v="58900"/>
    <n v="0"/>
    <x v="7"/>
    <s v="Delivered"/>
    <n v="285000"/>
    <x v="74"/>
    <n v="176700"/>
    <n v="108300"/>
    <m/>
  </r>
  <r>
    <s v="NG20250535"/>
    <x v="32"/>
    <s v="Retail"/>
    <s v="FCT"/>
    <s v="Abuja"/>
    <x v="1"/>
    <x v="1"/>
    <s v="Cash"/>
    <x v="6"/>
    <s v="Electronics"/>
    <n v="2"/>
    <n v="180000"/>
    <n v="136500"/>
    <n v="0.05"/>
    <x v="1"/>
    <s v="Returned"/>
    <n v="360000"/>
    <x v="375"/>
    <n v="273000"/>
    <n v="69000"/>
    <m/>
  </r>
  <r>
    <s v="NG20250536"/>
    <x v="295"/>
    <s v="Corporate"/>
    <s v="Plateau State"/>
    <s v="Jos"/>
    <x v="1"/>
    <x v="3"/>
    <s v="Mobile Money"/>
    <x v="7"/>
    <s v="Groceries"/>
    <n v="3"/>
    <n v="104500"/>
    <n v="86100"/>
    <n v="0.15"/>
    <x v="7"/>
    <s v="Cancelled"/>
    <n v="313500"/>
    <x v="260"/>
    <n v="258300"/>
    <n v="8175"/>
    <m/>
  </r>
  <r>
    <s v="NG20250537"/>
    <x v="231"/>
    <s v="Retail"/>
    <s v="Anambra State"/>
    <s v="Onitsha"/>
    <x v="2"/>
    <x v="3"/>
    <s v="USSD"/>
    <x v="11"/>
    <s v="Electronics"/>
    <n v="5"/>
    <n v="176000"/>
    <n v="115000"/>
    <n v="0"/>
    <x v="6"/>
    <s v="Delivered"/>
    <n v="880000"/>
    <x v="376"/>
    <n v="575000"/>
    <n v="305000"/>
    <m/>
  </r>
  <r>
    <s v="NG20250538"/>
    <x v="296"/>
    <s v="Wholesale"/>
    <s v="Anambra State"/>
    <s v="Onitsha"/>
    <x v="2"/>
    <x v="0"/>
    <s v="Debit Card"/>
    <x v="2"/>
    <s v="Groceries"/>
    <n v="3"/>
    <n v="18500"/>
    <n v="13775"/>
    <n v="0"/>
    <x v="0"/>
    <s v="Delivered"/>
    <n v="55500"/>
    <x v="301"/>
    <n v="41325"/>
    <n v="14175"/>
    <m/>
  </r>
  <r>
    <s v="NG20250539"/>
    <x v="62"/>
    <s v="Corporate"/>
    <s v="Kaduna State"/>
    <s v="Kaduna"/>
    <x v="3"/>
    <x v="2"/>
    <s v="Bank Transfer"/>
    <x v="3"/>
    <s v="Electronics"/>
    <n v="8"/>
    <n v="280000"/>
    <n v="220500"/>
    <n v="0"/>
    <x v="2"/>
    <s v="Cancelled"/>
    <n v="2240000"/>
    <x v="377"/>
    <n v="1764000"/>
    <n v="476000"/>
    <m/>
  </r>
  <r>
    <s v="NG20250540"/>
    <x v="69"/>
    <s v="Retail"/>
    <s v="FCT"/>
    <s v="Abuja"/>
    <x v="1"/>
    <x v="3"/>
    <s v="USSD"/>
    <x v="1"/>
    <s v="Electronics"/>
    <n v="10"/>
    <n v="450000"/>
    <n v="332500"/>
    <n v="0.05"/>
    <x v="4"/>
    <s v="Delivered"/>
    <n v="4500000"/>
    <x v="378"/>
    <n v="3325000"/>
    <n v="950000"/>
    <m/>
  </r>
  <r>
    <s v="NG20250541"/>
    <x v="32"/>
    <s v="Corporate"/>
    <s v="Ogun State"/>
    <s v="Abeokuta"/>
    <x v="0"/>
    <x v="0"/>
    <s v="Bank Transfer"/>
    <x v="10"/>
    <s v="Furniture"/>
    <n v="6"/>
    <n v="157500"/>
    <n v="120000"/>
    <n v="0"/>
    <x v="4"/>
    <s v="Pending"/>
    <n v="945000"/>
    <x v="349"/>
    <n v="720000"/>
    <n v="225000"/>
    <m/>
  </r>
  <r>
    <s v="NG20250542"/>
    <x v="297"/>
    <s v="Retail"/>
    <s v="Rivers State"/>
    <s v="Port Harcourt"/>
    <x v="4"/>
    <x v="3"/>
    <s v="Bank Transfer"/>
    <x v="1"/>
    <s v="Electronics"/>
    <n v="8"/>
    <n v="495000"/>
    <n v="332500"/>
    <n v="0"/>
    <x v="4"/>
    <s v="Delivered"/>
    <n v="3960000"/>
    <x v="379"/>
    <n v="2660000"/>
    <n v="1300000"/>
    <m/>
  </r>
  <r>
    <s v="NG20250543"/>
    <x v="55"/>
    <s v="Corporate"/>
    <s v="FCT"/>
    <s v="Abuja"/>
    <x v="1"/>
    <x v="0"/>
    <s v="Debit Card"/>
    <x v="0"/>
    <s v="Fashion"/>
    <n v="2"/>
    <n v="20900"/>
    <n v="13000"/>
    <n v="0"/>
    <x v="6"/>
    <s v="Delivered"/>
    <n v="41800"/>
    <x v="380"/>
    <n v="26000"/>
    <n v="15800"/>
    <m/>
  </r>
  <r>
    <s v="NG20250544"/>
    <x v="285"/>
    <s v="Wholesale"/>
    <s v="Nasarawa State"/>
    <s v="Mararaba"/>
    <x v="1"/>
    <x v="3"/>
    <s v="Debit Card"/>
    <x v="6"/>
    <s v="Electronics"/>
    <n v="1"/>
    <n v="180000"/>
    <n v="123500"/>
    <n v="0"/>
    <x v="6"/>
    <s v="Delivered"/>
    <n v="180000"/>
    <x v="314"/>
    <n v="123500"/>
    <n v="56500"/>
    <m/>
  </r>
  <r>
    <s v="NG20250545"/>
    <x v="44"/>
    <s v="Wholesale"/>
    <s v="Nasarawa State"/>
    <s v="Mararaba"/>
    <x v="1"/>
    <x v="1"/>
    <s v="Bank Transfer"/>
    <x v="9"/>
    <s v="Fashion"/>
    <n v="4"/>
    <n v="39900"/>
    <n v="24700"/>
    <n v="0"/>
    <x v="6"/>
    <s v="Delivered"/>
    <n v="159600"/>
    <x v="381"/>
    <n v="98800"/>
    <n v="60800"/>
    <m/>
  </r>
  <r>
    <s v="NG20250546"/>
    <x v="222"/>
    <s v="Corporate"/>
    <s v="Kaduna State"/>
    <s v="Kaduna"/>
    <x v="3"/>
    <x v="1"/>
    <s v="Cash"/>
    <x v="1"/>
    <s v="Electronics"/>
    <n v="10"/>
    <n v="405000"/>
    <n v="332500"/>
    <n v="0.05"/>
    <x v="1"/>
    <s v="Delivered"/>
    <n v="4050000"/>
    <x v="382"/>
    <n v="3325000"/>
    <n v="522500"/>
    <m/>
  </r>
  <r>
    <s v="NG20250547"/>
    <x v="26"/>
    <s v="Retail"/>
    <s v="Plateau State"/>
    <s v="Jos"/>
    <x v="1"/>
    <x v="1"/>
    <s v="Mobile Money"/>
    <x v="2"/>
    <s v="Groceries"/>
    <n v="2"/>
    <n v="20350"/>
    <n v="14500"/>
    <n v="0.15"/>
    <x v="6"/>
    <s v="Cancelled"/>
    <n v="40700"/>
    <x v="383"/>
    <n v="29000"/>
    <n v="5595"/>
    <m/>
  </r>
  <r>
    <s v="NG20250548"/>
    <x v="298"/>
    <s v="Corporate"/>
    <s v="Edo State"/>
    <s v="Benin City"/>
    <x v="4"/>
    <x v="1"/>
    <s v="Cash"/>
    <x v="3"/>
    <s v="Electronics"/>
    <n v="3"/>
    <n v="280000"/>
    <n v="210000"/>
    <n v="0.15"/>
    <x v="5"/>
    <s v="Returned"/>
    <n v="840000"/>
    <x v="384"/>
    <n v="630000"/>
    <n v="84000"/>
    <m/>
  </r>
  <r>
    <s v="NG20250549"/>
    <x v="272"/>
    <s v="Corporate"/>
    <s v="Anambra State"/>
    <s v="Onitsha"/>
    <x v="2"/>
    <x v="3"/>
    <s v="USSD"/>
    <x v="6"/>
    <s v="Electronics"/>
    <n v="2"/>
    <n v="180000"/>
    <n v="136500"/>
    <n v="0"/>
    <x v="1"/>
    <s v="Returned"/>
    <n v="360000"/>
    <x v="112"/>
    <n v="273000"/>
    <n v="87000"/>
    <m/>
  </r>
  <r>
    <s v="NG20250550"/>
    <x v="299"/>
    <s v="Corporate"/>
    <s v="Oyo State"/>
    <s v="Ibadan"/>
    <x v="0"/>
    <x v="2"/>
    <s v="Mobile Money"/>
    <x v="1"/>
    <s v="Electronics"/>
    <n v="3"/>
    <n v="450000"/>
    <n v="367500"/>
    <n v="0.05"/>
    <x v="3"/>
    <s v="Delivered"/>
    <n v="1350000"/>
    <x v="90"/>
    <n v="1102500"/>
    <n v="180000"/>
    <m/>
  </r>
  <r>
    <s v="NG20250551"/>
    <x v="55"/>
    <s v="Corporate"/>
    <s v="Edo State"/>
    <s v="Benin City"/>
    <x v="4"/>
    <x v="1"/>
    <s v="Cash"/>
    <x v="4"/>
    <s v="Home Appliances"/>
    <n v="6"/>
    <n v="48000"/>
    <n v="28500"/>
    <n v="0"/>
    <x v="5"/>
    <s v="Pending"/>
    <n v="288000"/>
    <x v="140"/>
    <n v="171000"/>
    <n v="117000"/>
    <m/>
  </r>
  <r>
    <s v="NG20250552"/>
    <x v="92"/>
    <s v="Wholesale"/>
    <s v="Ogun State"/>
    <s v="Abeokuta"/>
    <x v="0"/>
    <x v="1"/>
    <s v="USSD"/>
    <x v="7"/>
    <s v="Groceries"/>
    <n v="15"/>
    <n v="95000"/>
    <n v="77900"/>
    <n v="0"/>
    <x v="2"/>
    <s v="Returned"/>
    <n v="1425000"/>
    <x v="162"/>
    <n v="1168500"/>
    <n v="256500"/>
    <m/>
  </r>
  <r>
    <s v="NG20250553"/>
    <x v="193"/>
    <s v="Corporate"/>
    <s v="Edo State"/>
    <s v="Benin City"/>
    <x v="4"/>
    <x v="0"/>
    <s v="Mobile Money"/>
    <x v="7"/>
    <s v="Groceries"/>
    <n v="2"/>
    <n v="99750"/>
    <n v="77900"/>
    <n v="0.15"/>
    <x v="1"/>
    <s v="Cancelled"/>
    <n v="199500"/>
    <x v="68"/>
    <n v="155800"/>
    <n v="13775"/>
    <m/>
  </r>
  <r>
    <s v="NG20250554"/>
    <x v="211"/>
    <s v="Wholesale"/>
    <s v="Enugu State"/>
    <s v="Enugu"/>
    <x v="2"/>
    <x v="0"/>
    <s v="Mobile Money"/>
    <x v="10"/>
    <s v="Furniture"/>
    <n v="1"/>
    <n v="175000"/>
    <n v="120000"/>
    <n v="0"/>
    <x v="0"/>
    <s v="Delivered"/>
    <n v="175000"/>
    <x v="194"/>
    <n v="120000"/>
    <n v="55000"/>
    <m/>
  </r>
  <r>
    <s v="NG20250555"/>
    <x v="0"/>
    <s v="Wholesale"/>
    <s v="Kaduna State"/>
    <s v="Kaduna"/>
    <x v="3"/>
    <x v="0"/>
    <s v="Cash"/>
    <x v="10"/>
    <s v="Furniture"/>
    <n v="5"/>
    <n v="157500"/>
    <n v="114000"/>
    <n v="0"/>
    <x v="6"/>
    <s v="Cancelled"/>
    <n v="787500"/>
    <x v="385"/>
    <n v="570000"/>
    <n v="217500"/>
    <m/>
  </r>
  <r>
    <s v="NG20250556"/>
    <x v="223"/>
    <s v="Corporate"/>
    <s v="Enugu State"/>
    <s v="Enugu"/>
    <x v="2"/>
    <x v="3"/>
    <s v="Mobile Money"/>
    <x v="8"/>
    <s v="Home Appliances"/>
    <n v="2"/>
    <n v="125000"/>
    <n v="89250"/>
    <n v="0"/>
    <x v="4"/>
    <s v="Returned"/>
    <n v="250000"/>
    <x v="66"/>
    <n v="178500"/>
    <n v="71500"/>
    <m/>
  </r>
  <r>
    <s v="NG20250557"/>
    <x v="275"/>
    <s v="Wholesale"/>
    <s v="Edo State"/>
    <s v="Benin City"/>
    <x v="4"/>
    <x v="1"/>
    <s v="Cash"/>
    <x v="4"/>
    <s v="Home Appliances"/>
    <n v="15"/>
    <n v="48000"/>
    <n v="28500"/>
    <n v="0.1"/>
    <x v="4"/>
    <s v="Cancelled"/>
    <n v="720000"/>
    <x v="386"/>
    <n v="427500"/>
    <n v="220500"/>
    <m/>
  </r>
  <r>
    <s v="NG20250558"/>
    <x v="107"/>
    <s v="Retail"/>
    <s v="Plateau State"/>
    <s v="Jos"/>
    <x v="1"/>
    <x v="3"/>
    <s v="Bank Transfer"/>
    <x v="1"/>
    <s v="Electronics"/>
    <n v="10"/>
    <n v="405000"/>
    <n v="332500"/>
    <n v="0.15"/>
    <x v="5"/>
    <s v="Delivered"/>
    <n v="4050000"/>
    <x v="387"/>
    <n v="3325000"/>
    <n v="117500"/>
    <m/>
  </r>
  <r>
    <s v="NG20250559"/>
    <x v="77"/>
    <s v="Corporate"/>
    <s v="Edo State"/>
    <s v="Benin City"/>
    <x v="4"/>
    <x v="1"/>
    <s v="Mobile Money"/>
    <x v="4"/>
    <s v="Home Appliances"/>
    <n v="4"/>
    <n v="50400"/>
    <n v="30000"/>
    <m/>
    <x v="5"/>
    <s v="Pending"/>
    <n v="201600"/>
    <x v="69"/>
    <n v="120000"/>
    <n v="81600"/>
    <m/>
  </r>
  <r>
    <s v="NG20250560"/>
    <x v="242"/>
    <s v="Corporate"/>
    <s v="Ogun State"/>
    <s v="Abeokuta"/>
    <x v="0"/>
    <x v="2"/>
    <s v="Cash"/>
    <x v="0"/>
    <s v="Fashion"/>
    <n v="3"/>
    <n v="20900"/>
    <n v="13650"/>
    <n v="0"/>
    <x v="7"/>
    <s v="Delivered"/>
    <n v="62700"/>
    <x v="388"/>
    <n v="40950"/>
    <n v="21750"/>
    <m/>
  </r>
  <r>
    <s v="NG20250561"/>
    <x v="56"/>
    <s v="Retail"/>
    <s v="Rivers State"/>
    <s v="Port Harcourt"/>
    <x v="4"/>
    <x v="2"/>
    <s v="USSD"/>
    <x v="3"/>
    <s v="Electronics"/>
    <n v="1"/>
    <n v="294000"/>
    <n v="220500"/>
    <n v="0.15"/>
    <x v="1"/>
    <s v="Delivered"/>
    <n v="294000"/>
    <x v="389"/>
    <n v="220500"/>
    <n v="29400"/>
    <m/>
  </r>
  <r>
    <s v="NG20250562"/>
    <x v="139"/>
    <s v="Wholesale"/>
    <s v="Anambra State"/>
    <s v="Onitsha"/>
    <x v="2"/>
    <x v="1"/>
    <s v="USSD"/>
    <x v="9"/>
    <s v="Fashion"/>
    <n v="12"/>
    <n v="42000"/>
    <n v="26000"/>
    <n v="0.05"/>
    <x v="2"/>
    <s v="Pending"/>
    <n v="504000"/>
    <x v="56"/>
    <n v="312000"/>
    <n v="166800"/>
    <m/>
  </r>
  <r>
    <s v="NG20250563"/>
    <x v="21"/>
    <s v="Wholesale"/>
    <s v="Ogun State"/>
    <s v="Abeokuta"/>
    <x v="0"/>
    <x v="3"/>
    <s v="USSD"/>
    <x v="11"/>
    <s v="Electronics"/>
    <n v="3"/>
    <n v="144000"/>
    <n v="120750"/>
    <n v="0.15"/>
    <x v="2"/>
    <s v="Returned"/>
    <n v="432000"/>
    <x v="390"/>
    <n v="362250"/>
    <n v="4950"/>
    <m/>
  </r>
  <r>
    <s v="NG20250564"/>
    <x v="300"/>
    <s v="Wholesale"/>
    <s v="Lagos State"/>
    <s v="Lagos"/>
    <x v="0"/>
    <x v="0"/>
    <s v="Cash"/>
    <x v="1"/>
    <s v="Electronics"/>
    <n v="4"/>
    <n v="472500"/>
    <n v="350000"/>
    <n v="0"/>
    <x v="4"/>
    <s v="Pending"/>
    <n v="1890000"/>
    <x v="391"/>
    <n v="1400000"/>
    <n v="490000"/>
    <m/>
  </r>
  <r>
    <s v="NG20250565"/>
    <x v="165"/>
    <s v="Wholesale"/>
    <s v="Enugu State"/>
    <s v="Enugu"/>
    <x v="2"/>
    <x v="0"/>
    <s v="Mobile Money"/>
    <x v="8"/>
    <s v="Home Appliances"/>
    <n v="1"/>
    <n v="125000"/>
    <n v="80750"/>
    <n v="0"/>
    <x v="4"/>
    <s v="Returned"/>
    <n v="125000"/>
    <x v="14"/>
    <n v="80750"/>
    <n v="44250"/>
    <m/>
  </r>
  <r>
    <s v="NG20250566"/>
    <x v="22"/>
    <s v="Corporate"/>
    <s v="Lagos State"/>
    <s v="Lagos"/>
    <x v="0"/>
    <x v="3"/>
    <s v="USSD"/>
    <x v="2"/>
    <s v="Groceries"/>
    <n v="10"/>
    <n v="18500"/>
    <n v="13775"/>
    <n v="0.05"/>
    <x v="2"/>
    <s v="Cancelled"/>
    <n v="185000"/>
    <x v="392"/>
    <n v="137750"/>
    <n v="38000"/>
    <m/>
  </r>
  <r>
    <s v="NG20250567"/>
    <x v="226"/>
    <s v="Retail"/>
    <s v="Nasarawa State"/>
    <s v="Mararaba"/>
    <x v="1"/>
    <x v="1"/>
    <s v="Mobile Money"/>
    <x v="5"/>
    <s v="Furniture"/>
    <n v="1"/>
    <n v="99750"/>
    <n v="62000"/>
    <n v="0.15"/>
    <x v="6"/>
    <s v="Delivered"/>
    <n v="99750"/>
    <x v="393"/>
    <n v="62000"/>
    <n v="22787.5"/>
    <m/>
  </r>
  <r>
    <s v="NG20250568"/>
    <x v="17"/>
    <s v="Retail"/>
    <s v="Lagos State"/>
    <s v="Lagos"/>
    <x v="0"/>
    <x v="0"/>
    <s v="Debit Card"/>
    <x v="2"/>
    <s v="Groceries"/>
    <n v="5"/>
    <n v="18500"/>
    <n v="13775"/>
    <n v="0"/>
    <x v="4"/>
    <s v="Delivered"/>
    <n v="92500"/>
    <x v="394"/>
    <n v="68875"/>
    <n v="23625"/>
    <m/>
  </r>
  <r>
    <s v="NG20250569"/>
    <x v="301"/>
    <s v="Retail"/>
    <s v="Anambra State"/>
    <s v="Onitsha"/>
    <x v="2"/>
    <x v="2"/>
    <s v="USSD"/>
    <x v="6"/>
    <s v="Electronics"/>
    <n v="2"/>
    <n v="198000"/>
    <n v="130000"/>
    <n v="0"/>
    <x v="2"/>
    <s v="Cancelled"/>
    <n v="396000"/>
    <x v="395"/>
    <n v="260000"/>
    <n v="136000"/>
    <m/>
  </r>
  <r>
    <s v="NG20250570"/>
    <x v="302"/>
    <s v="Corporate"/>
    <s v="Nasarawa State"/>
    <s v="Mararaba"/>
    <x v="1"/>
    <x v="0"/>
    <s v="Cash"/>
    <x v="6"/>
    <s v="Electronics"/>
    <n v="6"/>
    <n v="171000"/>
    <n v="136500"/>
    <n v="0"/>
    <x v="6"/>
    <s v="Delivered"/>
    <n v="1026000"/>
    <x v="366"/>
    <n v="819000"/>
    <n v="207000"/>
    <m/>
  </r>
  <r>
    <s v="NG20250571"/>
    <x v="45"/>
    <s v="Retail"/>
    <s v="Kano State"/>
    <s v="Kano"/>
    <x v="3"/>
    <x v="3"/>
    <s v="Bank Transfer"/>
    <x v="8"/>
    <s v="Home Appliances"/>
    <n v="6"/>
    <n v="118750"/>
    <n v="89250"/>
    <n v="0.15"/>
    <x v="4"/>
    <s v="Delivered"/>
    <n v="712500"/>
    <x v="396"/>
    <n v="535500"/>
    <n v="70125"/>
    <m/>
  </r>
  <r>
    <s v="NG20250572"/>
    <x v="227"/>
    <s v="Wholesale"/>
    <s v="Lagos State"/>
    <s v="Lagos"/>
    <x v="0"/>
    <x v="2"/>
    <s v="USSD"/>
    <x v="3"/>
    <s v="Electronics"/>
    <n v="1"/>
    <n v="280000"/>
    <n v="220500"/>
    <n v="0"/>
    <x v="0"/>
    <s v="Returned"/>
    <n v="280000"/>
    <x v="226"/>
    <n v="220500"/>
    <n v="59500"/>
    <m/>
  </r>
  <r>
    <s v="NG20250573"/>
    <x v="148"/>
    <s v="Corporate"/>
    <s v="Nasarawa State"/>
    <s v="Mararaba"/>
    <x v="1"/>
    <x v="3"/>
    <s v="Mobile Money"/>
    <x v="8"/>
    <s v="Home Appliances"/>
    <n v="1"/>
    <n v="137500"/>
    <n v="89250"/>
    <n v="0"/>
    <x v="7"/>
    <s v="Pending"/>
    <n v="137500"/>
    <x v="397"/>
    <n v="89250"/>
    <n v="48250"/>
    <m/>
  </r>
  <r>
    <s v="NG20250574"/>
    <x v="98"/>
    <s v="Corporate"/>
    <s v="Enugu State"/>
    <s v="Enugu"/>
    <x v="2"/>
    <x v="3"/>
    <s v="Debit Card"/>
    <x v="3"/>
    <s v="Electronics"/>
    <n v="4"/>
    <n v="308000"/>
    <n v="220500"/>
    <n v="0.1"/>
    <x v="3"/>
    <s v="Delivered"/>
    <n v="1232000"/>
    <x v="109"/>
    <n v="882000"/>
    <n v="226800"/>
    <m/>
  </r>
  <r>
    <s v="NG20250575"/>
    <x v="303"/>
    <s v="Retail"/>
    <s v="Rivers State"/>
    <s v="Port Harcourt"/>
    <x v="4"/>
    <x v="3"/>
    <s v="Cash"/>
    <x v="5"/>
    <s v="Furniture"/>
    <n v="4"/>
    <n v="95000"/>
    <n v="62000"/>
    <n v="0.15"/>
    <x v="2"/>
    <s v="Cancelled"/>
    <n v="380000"/>
    <x v="141"/>
    <n v="248000"/>
    <n v="75000"/>
    <m/>
  </r>
  <r>
    <s v="NG20250576"/>
    <x v="273"/>
    <s v="Wholesale"/>
    <s v="Lagos State"/>
    <s v="Lagos"/>
    <x v="0"/>
    <x v="0"/>
    <s v="USSD"/>
    <x v="7"/>
    <s v="Groceries"/>
    <n v="5"/>
    <n v="104500"/>
    <n v="77900"/>
    <n v="0"/>
    <x v="2"/>
    <s v="Delivered"/>
    <n v="522500"/>
    <x v="398"/>
    <n v="389500"/>
    <n v="133000"/>
    <m/>
  </r>
  <r>
    <s v="NG20250577"/>
    <x v="284"/>
    <s v="Retail"/>
    <s v="Edo State"/>
    <s v="Benin City"/>
    <x v="4"/>
    <x v="2"/>
    <s v="Mobile Money"/>
    <x v="11"/>
    <s v="Electronics"/>
    <n v="2"/>
    <n v="152000"/>
    <n v="109250"/>
    <n v="0"/>
    <x v="3"/>
    <s v="Delivered"/>
    <n v="304000"/>
    <x v="105"/>
    <n v="218500"/>
    <n v="85500"/>
    <m/>
  </r>
  <r>
    <s v="NG20250578"/>
    <x v="129"/>
    <s v="Wholesale"/>
    <s v="Oyo State"/>
    <s v="Ibadan"/>
    <x v="0"/>
    <x v="2"/>
    <s v="Bank Transfer"/>
    <x v="9"/>
    <s v="Fashion"/>
    <n v="1"/>
    <n v="42000"/>
    <n v="26000"/>
    <n v="0.05"/>
    <x v="6"/>
    <s v="Returned"/>
    <n v="42000"/>
    <x v="138"/>
    <n v="26000"/>
    <n v="13900"/>
    <m/>
  </r>
  <r>
    <s v="NG20250579"/>
    <x v="304"/>
    <s v="Wholesale"/>
    <s v="Nasarawa State"/>
    <s v="Mararaba"/>
    <x v="1"/>
    <x v="3"/>
    <s v="Debit Card"/>
    <x v="5"/>
    <s v="Furniture"/>
    <n v="3"/>
    <n v="85500"/>
    <n v="65100"/>
    <n v="0"/>
    <x v="6"/>
    <s v="Returned"/>
    <n v="256500"/>
    <x v="122"/>
    <n v="195300"/>
    <n v="61200"/>
    <m/>
  </r>
  <r>
    <s v="NG20250580"/>
    <x v="199"/>
    <s v="Corporate"/>
    <s v="Nasarawa State"/>
    <s v="Mararaba"/>
    <x v="1"/>
    <x v="2"/>
    <s v="USSD"/>
    <x v="3"/>
    <s v="Electronics"/>
    <n v="6"/>
    <n v="280000"/>
    <n v="220500"/>
    <n v="0"/>
    <x v="3"/>
    <s v="Delivered"/>
    <n v="1680000"/>
    <x v="219"/>
    <n v="1323000"/>
    <n v="357000"/>
    <m/>
  </r>
  <r>
    <s v="NG20250581"/>
    <x v="305"/>
    <s v="Corporate"/>
    <s v="FCT"/>
    <s v="Abuja"/>
    <x v="1"/>
    <x v="2"/>
    <s v="Mobile Money"/>
    <x v="8"/>
    <s v="Home Appliances"/>
    <n v="4"/>
    <n v="118750"/>
    <n v="89250"/>
    <n v="0"/>
    <x v="3"/>
    <s v="Cancelled"/>
    <n v="475000"/>
    <x v="239"/>
    <n v="357000"/>
    <n v="118000"/>
    <m/>
  </r>
  <r>
    <s v="NG20250582"/>
    <x v="128"/>
    <s v="Corporate"/>
    <s v="Edo State"/>
    <s v="Benin City"/>
    <x v="4"/>
    <x v="1"/>
    <s v="Bank Transfer"/>
    <x v="8"/>
    <s v="Home Appliances"/>
    <n v="2"/>
    <n v="112500"/>
    <n v="80750"/>
    <n v="0"/>
    <x v="1"/>
    <s v="Returned"/>
    <n v="225000"/>
    <x v="282"/>
    <n v="161500"/>
    <n v="63500"/>
    <m/>
  </r>
  <r>
    <s v="NG20250583"/>
    <x v="115"/>
    <s v="Corporate"/>
    <s v="Rivers State"/>
    <s v="Port Harcourt"/>
    <x v="4"/>
    <x v="1"/>
    <s v="Mobile Money"/>
    <x v="6"/>
    <s v="Electronics"/>
    <n v="5"/>
    <n v="162000"/>
    <n v="136500"/>
    <n v="0"/>
    <x v="7"/>
    <s v="Returned"/>
    <n v="810000"/>
    <x v="97"/>
    <n v="682500"/>
    <n v="127500"/>
    <m/>
  </r>
  <r>
    <s v="NG20250584"/>
    <x v="19"/>
    <s v="Retail"/>
    <s v="Edo State"/>
    <s v="Benin City"/>
    <x v="4"/>
    <x v="2"/>
    <s v="Bank Transfer"/>
    <x v="7"/>
    <s v="Groceries"/>
    <n v="12"/>
    <n v="95000"/>
    <n v="86100"/>
    <n v="0.05"/>
    <x v="0"/>
    <s v="Returned"/>
    <n v="1140000"/>
    <x v="399"/>
    <n v="1033200"/>
    <n v="49800"/>
    <m/>
  </r>
  <r>
    <s v="NG20250585"/>
    <x v="254"/>
    <s v="Corporate"/>
    <s v="Kaduna State"/>
    <s v="Kaduna"/>
    <x v="3"/>
    <x v="0"/>
    <s v="Bank Transfer"/>
    <x v="9"/>
    <s v="Fashion"/>
    <n v="1"/>
    <n v="42000"/>
    <n v="26000"/>
    <n v="0"/>
    <x v="2"/>
    <s v="Delivered"/>
    <n v="42000"/>
    <x v="216"/>
    <n v="26000"/>
    <n v="16000"/>
    <m/>
  </r>
  <r>
    <s v="NG20250586"/>
    <x v="155"/>
    <s v="Wholesale"/>
    <s v="Plateau State"/>
    <s v="Jos"/>
    <x v="1"/>
    <x v="0"/>
    <s v="USSD"/>
    <x v="7"/>
    <s v="Groceries"/>
    <n v="1"/>
    <n v="95000"/>
    <n v="82000"/>
    <n v="0.15"/>
    <x v="5"/>
    <s v="Delivered"/>
    <n v="95000"/>
    <x v="280"/>
    <n v="82000"/>
    <n v="-1250"/>
    <m/>
  </r>
  <r>
    <s v="NG20250587"/>
    <x v="306"/>
    <s v="Corporate"/>
    <s v="Edo State"/>
    <s v="Benin City"/>
    <x v="4"/>
    <x v="2"/>
    <s v="Cash"/>
    <x v="5"/>
    <s v="Furniture"/>
    <n v="3"/>
    <n v="85500"/>
    <n v="62000"/>
    <n v="0.05"/>
    <x v="7"/>
    <s v="Returned"/>
    <n v="256500"/>
    <x v="400"/>
    <n v="186000"/>
    <n v="57675"/>
    <m/>
  </r>
  <r>
    <s v="NG20250588"/>
    <x v="255"/>
    <s v="Wholesale"/>
    <s v="Lagos State"/>
    <s v="Lagos"/>
    <x v="0"/>
    <x v="3"/>
    <s v="USSD"/>
    <x v="11"/>
    <s v="Electronics"/>
    <n v="5"/>
    <n v="160000"/>
    <n v="115000"/>
    <n v="0.05"/>
    <x v="1"/>
    <s v="Delivered"/>
    <n v="800000"/>
    <x v="13"/>
    <n v="575000"/>
    <n v="185000"/>
    <m/>
  </r>
  <r>
    <s v="NG20250589"/>
    <x v="66"/>
    <s v="Wholesale"/>
    <s v="Lagos State"/>
    <s v="Lagos"/>
    <x v="0"/>
    <x v="1"/>
    <s v="Mobile Money"/>
    <x v="1"/>
    <s v="Electronics"/>
    <n v="2"/>
    <n v="450000"/>
    <n v="332500"/>
    <n v="0.05"/>
    <x v="6"/>
    <s v="Delivered"/>
    <n v="900000"/>
    <x v="31"/>
    <n v="665000"/>
    <n v="190000"/>
    <m/>
  </r>
  <r>
    <s v="NG20250590"/>
    <x v="68"/>
    <s v="Wholesale"/>
    <s v="Anambra State"/>
    <s v="Onitsha"/>
    <x v="2"/>
    <x v="0"/>
    <s v="USSD"/>
    <x v="9"/>
    <s v="Fashion"/>
    <n v="2"/>
    <n v="37800"/>
    <n v="24700"/>
    <n v="0.15"/>
    <x v="7"/>
    <s v="Pending"/>
    <n v="75600"/>
    <x v="401"/>
    <n v="49400"/>
    <n v="14860"/>
    <m/>
  </r>
  <r>
    <s v="NG20250591"/>
    <x v="51"/>
    <s v="Retail"/>
    <s v="Edo State"/>
    <s v="Benin City"/>
    <x v="4"/>
    <x v="1"/>
    <s v="Mobile Money"/>
    <x v="11"/>
    <s v="Electronics"/>
    <n v="5"/>
    <n v="144000"/>
    <n v="115000"/>
    <n v="0.15"/>
    <x v="6"/>
    <s v="Delivered"/>
    <n v="720000"/>
    <x v="336"/>
    <n v="575000"/>
    <n v="37000"/>
    <m/>
  </r>
  <r>
    <s v="NG20250592"/>
    <x v="220"/>
    <s v="Retail"/>
    <s v="Oyo State"/>
    <s v="Ibadan"/>
    <x v="0"/>
    <x v="0"/>
    <s v="Cash"/>
    <x v="2"/>
    <s v="Groceries"/>
    <n v="6"/>
    <n v="16650"/>
    <n v="13775"/>
    <n v="0.05"/>
    <x v="0"/>
    <s v="Cancelled"/>
    <n v="99900"/>
    <x v="402"/>
    <n v="82650"/>
    <n v="12255"/>
    <m/>
  </r>
  <r>
    <s v="NG20250593"/>
    <x v="141"/>
    <s v="Retail"/>
    <s v="Edo State"/>
    <s v="Benin City"/>
    <x v="4"/>
    <x v="3"/>
    <s v="Cash"/>
    <x v="10"/>
    <s v="Furniture"/>
    <n v="5"/>
    <n v="175000"/>
    <n v="114000"/>
    <n v="0.15"/>
    <x v="7"/>
    <s v="Cancelled"/>
    <n v="875000"/>
    <x v="403"/>
    <n v="570000"/>
    <n v="173750"/>
    <m/>
  </r>
  <r>
    <s v="NG20250594"/>
    <x v="42"/>
    <s v="Wholesale"/>
    <s v="Ogun State"/>
    <s v="Abeokuta"/>
    <x v="0"/>
    <x v="3"/>
    <s v="Mobile Money"/>
    <x v="2"/>
    <s v="Groceries"/>
    <n v="2"/>
    <n v="16650"/>
    <n v="14500"/>
    <n v="0"/>
    <x v="6"/>
    <s v="Delivered"/>
    <n v="33300"/>
    <x v="404"/>
    <n v="29000"/>
    <n v="4300"/>
    <m/>
  </r>
  <r>
    <s v="NG20250595"/>
    <x v="113"/>
    <s v="Corporate"/>
    <s v="FCT"/>
    <s v="Abuja"/>
    <x v="1"/>
    <x v="2"/>
    <s v="Bank Transfer"/>
    <x v="8"/>
    <s v="Home Appliances"/>
    <n v="10"/>
    <n v="112500"/>
    <n v="85000"/>
    <n v="0"/>
    <x v="1"/>
    <s v="Cancelled"/>
    <n v="1125000"/>
    <x v="405"/>
    <n v="850000"/>
    <n v="275000"/>
    <m/>
  </r>
  <r>
    <s v="NG20250596"/>
    <x v="307"/>
    <s v="Wholesale"/>
    <s v="Lagos State"/>
    <s v="Lagos"/>
    <x v="0"/>
    <x v="2"/>
    <s v="Cash"/>
    <x v="3"/>
    <s v="Electronics"/>
    <n v="1"/>
    <n v="252000"/>
    <n v="210000"/>
    <n v="0.05"/>
    <x v="6"/>
    <s v="Pending"/>
    <n v="252000"/>
    <x v="94"/>
    <n v="210000"/>
    <n v="29400"/>
    <m/>
  </r>
  <r>
    <s v="NG20250597"/>
    <x v="57"/>
    <s v="Retail"/>
    <s v="Nasarawa State"/>
    <s v="Mararaba"/>
    <x v="1"/>
    <x v="2"/>
    <s v="USSD"/>
    <x v="0"/>
    <s v="Fashion"/>
    <n v="4"/>
    <n v="22000"/>
    <n v="13000"/>
    <n v="0"/>
    <x v="3"/>
    <s v="Returned"/>
    <n v="88000"/>
    <x v="341"/>
    <n v="52000"/>
    <n v="36000"/>
    <m/>
  </r>
  <r>
    <s v="NG20250598"/>
    <x v="66"/>
    <s v="Retail"/>
    <s v="Nasarawa State"/>
    <s v="Mararaba"/>
    <x v="1"/>
    <x v="3"/>
    <s v="Mobile Money"/>
    <x v="0"/>
    <s v="Fashion"/>
    <n v="2"/>
    <n v="19800"/>
    <n v="13000"/>
    <n v="0"/>
    <x v="5"/>
    <s v="Cancelled"/>
    <n v="39600"/>
    <x v="37"/>
    <n v="26000"/>
    <n v="13600"/>
    <m/>
  </r>
  <r>
    <s v="NG20250599"/>
    <x v="301"/>
    <s v="Wholesale"/>
    <s v="Rivers State"/>
    <s v="Port Harcourt"/>
    <x v="4"/>
    <x v="1"/>
    <s v="USSD"/>
    <x v="8"/>
    <s v="Home Appliances"/>
    <n v="5"/>
    <n v="125000"/>
    <n v="80750"/>
    <n v="0"/>
    <x v="6"/>
    <s v="Delivered"/>
    <n v="625000"/>
    <x v="178"/>
    <n v="403750"/>
    <n v="221250"/>
    <m/>
  </r>
  <r>
    <s v="NG20250600"/>
    <x v="33"/>
    <s v="Corporate"/>
    <s v="Rivers State"/>
    <s v="Port Harcourt"/>
    <x v="4"/>
    <x v="3"/>
    <s v="Mobile Money"/>
    <x v="6"/>
    <s v="Electronics"/>
    <n v="10"/>
    <n v="162000"/>
    <n v="130000"/>
    <n v="0"/>
    <x v="1"/>
    <s v="Pending"/>
    <n v="1620000"/>
    <x v="106"/>
    <n v="1300000"/>
    <n v="32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03B494-EC31-4091-8687-C3FD547D58D5}"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9:E14" firstHeaderRow="1" firstDataRow="1" firstDataCol="1"/>
  <pivotFields count="23">
    <pivotField showAll="0"/>
    <pivotField numFmtId="173" showAll="0">
      <items count="309">
        <item x="208"/>
        <item x="11"/>
        <item x="187"/>
        <item x="263"/>
        <item x="275"/>
        <item x="10"/>
        <item x="64"/>
        <item x="63"/>
        <item x="150"/>
        <item x="219"/>
        <item x="164"/>
        <item x="293"/>
        <item x="197"/>
        <item x="214"/>
        <item x="212"/>
        <item x="278"/>
        <item x="281"/>
        <item x="32"/>
        <item x="240"/>
        <item x="131"/>
        <item x="167"/>
        <item x="204"/>
        <item x="132"/>
        <item x="51"/>
        <item x="94"/>
        <item x="222"/>
        <item x="295"/>
        <item x="13"/>
        <item x="199"/>
        <item x="168"/>
        <item x="277"/>
        <item x="65"/>
        <item x="24"/>
        <item x="16"/>
        <item x="185"/>
        <item x="67"/>
        <item x="114"/>
        <item x="265"/>
        <item x="118"/>
        <item x="200"/>
        <item x="306"/>
        <item x="291"/>
        <item x="180"/>
        <item x="125"/>
        <item x="100"/>
        <item x="99"/>
        <item x="85"/>
        <item x="194"/>
        <item x="78"/>
        <item x="124"/>
        <item x="29"/>
        <item x="209"/>
        <item x="127"/>
        <item x="301"/>
        <item x="183"/>
        <item x="72"/>
        <item x="66"/>
        <item x="288"/>
        <item x="225"/>
        <item x="50"/>
        <item x="235"/>
        <item x="195"/>
        <item x="188"/>
        <item x="189"/>
        <item x="149"/>
        <item x="0"/>
        <item x="68"/>
        <item x="305"/>
        <item x="74"/>
        <item x="231"/>
        <item x="115"/>
        <item x="9"/>
        <item x="90"/>
        <item x="256"/>
        <item x="160"/>
        <item x="14"/>
        <item x="80"/>
        <item x="266"/>
        <item x="299"/>
        <item x="152"/>
        <item x="268"/>
        <item x="234"/>
        <item x="37"/>
        <item x="290"/>
        <item x="136"/>
        <item x="274"/>
        <item x="221"/>
        <item x="4"/>
        <item x="232"/>
        <item x="1"/>
        <item x="239"/>
        <item x="155"/>
        <item x="170"/>
        <item x="223"/>
        <item x="92"/>
        <item x="33"/>
        <item x="228"/>
        <item x="62"/>
        <item x="49"/>
        <item x="89"/>
        <item x="205"/>
        <item x="70"/>
        <item x="279"/>
        <item x="91"/>
        <item x="21"/>
        <item x="173"/>
        <item x="174"/>
        <item x="53"/>
        <item x="282"/>
        <item x="93"/>
        <item x="52"/>
        <item x="245"/>
        <item x="54"/>
        <item x="261"/>
        <item x="3"/>
        <item x="249"/>
        <item x="178"/>
        <item x="179"/>
        <item x="104"/>
        <item x="97"/>
        <item x="36"/>
        <item x="58"/>
        <item x="75"/>
        <item x="258"/>
        <item x="148"/>
        <item x="106"/>
        <item x="286"/>
        <item x="134"/>
        <item x="169"/>
        <item x="83"/>
        <item x="61"/>
        <item x="210"/>
        <item x="119"/>
        <item x="23"/>
        <item x="175"/>
        <item x="46"/>
        <item x="76"/>
        <item x="280"/>
        <item x="6"/>
        <item x="86"/>
        <item x="71"/>
        <item x="215"/>
        <item x="172"/>
        <item x="203"/>
        <item x="159"/>
        <item x="110"/>
        <item x="233"/>
        <item x="154"/>
        <item x="138"/>
        <item x="276"/>
        <item x="103"/>
        <item x="84"/>
        <item x="101"/>
        <item x="177"/>
        <item x="241"/>
        <item x="260"/>
        <item x="109"/>
        <item x="88"/>
        <item x="206"/>
        <item x="264"/>
        <item x="269"/>
        <item x="12"/>
        <item x="171"/>
        <item x="48"/>
        <item x="77"/>
        <item x="146"/>
        <item x="198"/>
        <item x="246"/>
        <item x="255"/>
        <item x="283"/>
        <item x="196"/>
        <item x="247"/>
        <item x="19"/>
        <item x="211"/>
        <item x="47"/>
        <item x="40"/>
        <item x="273"/>
        <item x="34"/>
        <item x="42"/>
        <item x="242"/>
        <item x="270"/>
        <item x="2"/>
        <item x="43"/>
        <item x="304"/>
        <item x="108"/>
        <item x="39"/>
        <item x="142"/>
        <item x="56"/>
        <item x="121"/>
        <item x="182"/>
        <item x="31"/>
        <item x="135"/>
        <item x="166"/>
        <item x="250"/>
        <item x="22"/>
        <item x="289"/>
        <item x="20"/>
        <item x="130"/>
        <item x="224"/>
        <item x="297"/>
        <item x="35"/>
        <item x="165"/>
        <item x="227"/>
        <item x="96"/>
        <item x="87"/>
        <item x="153"/>
        <item x="17"/>
        <item x="217"/>
        <item x="30"/>
        <item x="137"/>
        <item x="191"/>
        <item x="133"/>
        <item x="244"/>
        <item x="69"/>
        <item x="123"/>
        <item x="158"/>
        <item x="229"/>
        <item x="139"/>
        <item x="163"/>
        <item x="147"/>
        <item x="15"/>
        <item x="143"/>
        <item x="230"/>
        <item x="202"/>
        <item x="116"/>
        <item x="216"/>
        <item x="302"/>
        <item x="81"/>
        <item x="55"/>
        <item x="122"/>
        <item x="162"/>
        <item x="27"/>
        <item x="120"/>
        <item x="285"/>
        <item x="252"/>
        <item x="207"/>
        <item x="237"/>
        <item x="156"/>
        <item x="140"/>
        <item x="257"/>
        <item x="59"/>
        <item x="243"/>
        <item x="107"/>
        <item x="145"/>
        <item x="226"/>
        <item x="190"/>
        <item x="259"/>
        <item x="41"/>
        <item x="128"/>
        <item x="157"/>
        <item x="141"/>
        <item x="38"/>
        <item x="292"/>
        <item x="300"/>
        <item x="25"/>
        <item x="8"/>
        <item x="287"/>
        <item x="95"/>
        <item x="220"/>
        <item x="161"/>
        <item x="262"/>
        <item x="176"/>
        <item x="238"/>
        <item x="126"/>
        <item x="57"/>
        <item x="44"/>
        <item x="213"/>
        <item x="181"/>
        <item x="253"/>
        <item x="284"/>
        <item x="102"/>
        <item x="79"/>
        <item x="112"/>
        <item x="73"/>
        <item x="113"/>
        <item x="5"/>
        <item x="45"/>
        <item x="294"/>
        <item x="144"/>
        <item x="298"/>
        <item x="111"/>
        <item x="117"/>
        <item x="248"/>
        <item x="98"/>
        <item x="7"/>
        <item x="129"/>
        <item x="18"/>
        <item x="60"/>
        <item x="251"/>
        <item x="105"/>
        <item x="267"/>
        <item x="26"/>
        <item x="303"/>
        <item x="82"/>
        <item x="192"/>
        <item x="151"/>
        <item x="254"/>
        <item x="236"/>
        <item x="218"/>
        <item x="271"/>
        <item x="184"/>
        <item x="307"/>
        <item x="186"/>
        <item x="201"/>
        <item x="272"/>
        <item x="28"/>
        <item x="296"/>
        <item x="193"/>
        <item t="default"/>
      </items>
    </pivotField>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numFmtId="164" showAll="0"/>
    <pivotField showAll="0"/>
    <pivotField showAll="0"/>
    <pivotField showAll="0"/>
    <pivotField showAll="0"/>
    <pivotField numFmtId="164" showAll="0"/>
    <pivotField dataField="1" showAll="0"/>
    <pivotField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NetRevenue"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E0576-7727-4711-94E0-F9DB1A86786C}"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10" firstHeaderRow="1" firstDataRow="1" firstDataCol="1"/>
  <pivotFields count="23">
    <pivotField showAll="0"/>
    <pivotField numFmtId="173" showAll="0">
      <items count="309">
        <item x="208"/>
        <item x="11"/>
        <item x="187"/>
        <item x="263"/>
        <item x="275"/>
        <item x="10"/>
        <item x="64"/>
        <item x="63"/>
        <item x="150"/>
        <item x="219"/>
        <item x="164"/>
        <item x="293"/>
        <item x="197"/>
        <item x="214"/>
        <item x="212"/>
        <item x="278"/>
        <item x="281"/>
        <item x="32"/>
        <item x="240"/>
        <item x="131"/>
        <item x="167"/>
        <item x="204"/>
        <item x="132"/>
        <item x="51"/>
        <item x="94"/>
        <item x="222"/>
        <item x="295"/>
        <item x="13"/>
        <item x="199"/>
        <item x="168"/>
        <item x="277"/>
        <item x="65"/>
        <item x="24"/>
        <item x="16"/>
        <item x="185"/>
        <item x="67"/>
        <item x="114"/>
        <item x="265"/>
        <item x="118"/>
        <item x="200"/>
        <item x="306"/>
        <item x="291"/>
        <item x="180"/>
        <item x="125"/>
        <item x="100"/>
        <item x="99"/>
        <item x="85"/>
        <item x="194"/>
        <item x="78"/>
        <item x="124"/>
        <item x="29"/>
        <item x="209"/>
        <item x="127"/>
        <item x="301"/>
        <item x="183"/>
        <item x="72"/>
        <item x="66"/>
        <item x="288"/>
        <item x="225"/>
        <item x="50"/>
        <item x="235"/>
        <item x="195"/>
        <item x="188"/>
        <item x="189"/>
        <item x="149"/>
        <item x="0"/>
        <item x="68"/>
        <item x="305"/>
        <item x="74"/>
        <item x="231"/>
        <item x="115"/>
        <item x="9"/>
        <item x="90"/>
        <item x="256"/>
        <item x="160"/>
        <item x="14"/>
        <item x="80"/>
        <item x="266"/>
        <item x="299"/>
        <item x="152"/>
        <item x="268"/>
        <item x="234"/>
        <item x="37"/>
        <item x="290"/>
        <item x="136"/>
        <item x="274"/>
        <item x="221"/>
        <item x="4"/>
        <item x="232"/>
        <item x="1"/>
        <item x="239"/>
        <item x="155"/>
        <item x="170"/>
        <item x="223"/>
        <item x="92"/>
        <item x="33"/>
        <item x="228"/>
        <item x="62"/>
        <item x="49"/>
        <item x="89"/>
        <item x="205"/>
        <item x="70"/>
        <item x="279"/>
        <item x="91"/>
        <item x="21"/>
        <item x="173"/>
        <item x="174"/>
        <item x="53"/>
        <item x="282"/>
        <item x="93"/>
        <item x="52"/>
        <item x="245"/>
        <item x="54"/>
        <item x="261"/>
        <item x="3"/>
        <item x="249"/>
        <item x="178"/>
        <item x="179"/>
        <item x="104"/>
        <item x="97"/>
        <item x="36"/>
        <item x="58"/>
        <item x="75"/>
        <item x="258"/>
        <item x="148"/>
        <item x="106"/>
        <item x="286"/>
        <item x="134"/>
        <item x="169"/>
        <item x="83"/>
        <item x="61"/>
        <item x="210"/>
        <item x="119"/>
        <item x="23"/>
        <item x="175"/>
        <item x="46"/>
        <item x="76"/>
        <item x="280"/>
        <item x="6"/>
        <item x="86"/>
        <item x="71"/>
        <item x="215"/>
        <item x="172"/>
        <item x="203"/>
        <item x="159"/>
        <item x="110"/>
        <item x="233"/>
        <item x="154"/>
        <item x="138"/>
        <item x="276"/>
        <item x="103"/>
        <item x="84"/>
        <item x="101"/>
        <item x="177"/>
        <item x="241"/>
        <item x="260"/>
        <item x="109"/>
        <item x="88"/>
        <item x="206"/>
        <item x="264"/>
        <item x="269"/>
        <item x="12"/>
        <item x="171"/>
        <item x="48"/>
        <item x="77"/>
        <item x="146"/>
        <item x="198"/>
        <item x="246"/>
        <item x="255"/>
        <item x="283"/>
        <item x="196"/>
        <item x="247"/>
        <item x="19"/>
        <item x="211"/>
        <item x="47"/>
        <item x="40"/>
        <item x="273"/>
        <item x="34"/>
        <item x="42"/>
        <item x="242"/>
        <item x="270"/>
        <item x="2"/>
        <item x="43"/>
        <item x="304"/>
        <item x="108"/>
        <item x="39"/>
        <item x="142"/>
        <item x="56"/>
        <item x="121"/>
        <item x="182"/>
        <item x="31"/>
        <item x="135"/>
        <item x="166"/>
        <item x="250"/>
        <item x="22"/>
        <item x="289"/>
        <item x="20"/>
        <item x="130"/>
        <item x="224"/>
        <item x="297"/>
        <item x="35"/>
        <item x="165"/>
        <item x="227"/>
        <item x="96"/>
        <item x="87"/>
        <item x="153"/>
        <item x="17"/>
        <item x="217"/>
        <item x="30"/>
        <item x="137"/>
        <item x="191"/>
        <item x="133"/>
        <item x="244"/>
        <item x="69"/>
        <item x="123"/>
        <item x="158"/>
        <item x="229"/>
        <item x="139"/>
        <item x="163"/>
        <item x="147"/>
        <item x="15"/>
        <item x="143"/>
        <item x="230"/>
        <item x="202"/>
        <item x="116"/>
        <item x="216"/>
        <item x="302"/>
        <item x="81"/>
        <item x="55"/>
        <item x="122"/>
        <item x="162"/>
        <item x="27"/>
        <item x="120"/>
        <item x="285"/>
        <item x="252"/>
        <item x="207"/>
        <item x="237"/>
        <item x="156"/>
        <item x="140"/>
        <item x="257"/>
        <item x="59"/>
        <item x="243"/>
        <item x="107"/>
        <item x="145"/>
        <item x="226"/>
        <item x="190"/>
        <item x="259"/>
        <item x="41"/>
        <item x="128"/>
        <item x="157"/>
        <item x="141"/>
        <item x="38"/>
        <item x="292"/>
        <item x="300"/>
        <item x="25"/>
        <item x="8"/>
        <item x="287"/>
        <item x="95"/>
        <item x="220"/>
        <item x="161"/>
        <item x="262"/>
        <item x="176"/>
        <item x="238"/>
        <item x="126"/>
        <item x="57"/>
        <item x="44"/>
        <item x="213"/>
        <item x="181"/>
        <item x="253"/>
        <item x="284"/>
        <item x="102"/>
        <item x="79"/>
        <item x="112"/>
        <item x="73"/>
        <item x="113"/>
        <item x="5"/>
        <item x="45"/>
        <item x="294"/>
        <item x="144"/>
        <item x="298"/>
        <item x="111"/>
        <item x="117"/>
        <item x="248"/>
        <item x="98"/>
        <item x="7"/>
        <item x="129"/>
        <item x="18"/>
        <item x="60"/>
        <item x="251"/>
        <item x="105"/>
        <item x="267"/>
        <item x="26"/>
        <item x="303"/>
        <item x="82"/>
        <item x="192"/>
        <item x="151"/>
        <item x="254"/>
        <item x="236"/>
        <item x="218"/>
        <item x="271"/>
        <item x="184"/>
        <item x="307"/>
        <item x="186"/>
        <item x="201"/>
        <item x="272"/>
        <item x="28"/>
        <item x="296"/>
        <item x="193"/>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9">
        <item x="7"/>
        <item x="1"/>
        <item x="6"/>
        <item x="5"/>
        <item x="4"/>
        <item x="0"/>
        <item x="3"/>
        <item x="2"/>
        <item t="default"/>
      </items>
    </pivotField>
    <pivotField showAll="0"/>
    <pivotField numFmtId="164" showAll="0"/>
    <pivotField dataField="1" showAll="0"/>
    <pivotField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9">
    <i>
      <x/>
    </i>
    <i>
      <x v="1"/>
    </i>
    <i>
      <x v="2"/>
    </i>
    <i>
      <x v="3"/>
    </i>
    <i>
      <x v="4"/>
    </i>
    <i>
      <x v="5"/>
    </i>
    <i>
      <x v="6"/>
    </i>
    <i>
      <x v="7"/>
    </i>
    <i t="grand">
      <x/>
    </i>
  </rowItems>
  <colItems count="1">
    <i/>
  </colItems>
  <dataFields count="1">
    <dataField name="Sum of NetRevenue"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42911B-D96E-41A1-BEE9-F553D903338A}" name="PivotTable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13" firstHeaderRow="1" firstDataRow="1" firstDataCol="1"/>
  <pivotFields count="23">
    <pivotField showAll="0"/>
    <pivotField numFmtId="173" showAll="0">
      <items count="309">
        <item x="208"/>
        <item x="11"/>
        <item x="187"/>
        <item x="263"/>
        <item x="275"/>
        <item x="10"/>
        <item x="64"/>
        <item x="63"/>
        <item x="150"/>
        <item x="219"/>
        <item x="164"/>
        <item x="293"/>
        <item x="197"/>
        <item x="214"/>
        <item x="212"/>
        <item x="278"/>
        <item x="281"/>
        <item x="32"/>
        <item x="240"/>
        <item x="131"/>
        <item x="167"/>
        <item x="204"/>
        <item x="132"/>
        <item x="51"/>
        <item x="94"/>
        <item x="222"/>
        <item x="295"/>
        <item x="13"/>
        <item x="199"/>
        <item x="168"/>
        <item x="277"/>
        <item x="65"/>
        <item x="24"/>
        <item x="16"/>
        <item x="185"/>
        <item x="67"/>
        <item x="114"/>
        <item x="265"/>
        <item x="118"/>
        <item x="200"/>
        <item x="306"/>
        <item x="291"/>
        <item x="180"/>
        <item x="125"/>
        <item x="100"/>
        <item x="99"/>
        <item x="85"/>
        <item x="194"/>
        <item x="78"/>
        <item x="124"/>
        <item x="29"/>
        <item x="209"/>
        <item x="127"/>
        <item x="301"/>
        <item x="183"/>
        <item x="72"/>
        <item x="66"/>
        <item x="288"/>
        <item x="225"/>
        <item x="50"/>
        <item x="235"/>
        <item x="195"/>
        <item x="188"/>
        <item x="189"/>
        <item x="149"/>
        <item x="0"/>
        <item x="68"/>
        <item x="305"/>
        <item x="74"/>
        <item x="231"/>
        <item x="115"/>
        <item x="9"/>
        <item x="90"/>
        <item x="256"/>
        <item x="160"/>
        <item x="14"/>
        <item x="80"/>
        <item x="266"/>
        <item x="299"/>
        <item x="152"/>
        <item x="268"/>
        <item x="234"/>
        <item x="37"/>
        <item x="290"/>
        <item x="136"/>
        <item x="274"/>
        <item x="221"/>
        <item x="4"/>
        <item x="232"/>
        <item x="1"/>
        <item x="239"/>
        <item x="155"/>
        <item x="170"/>
        <item x="223"/>
        <item x="92"/>
        <item x="33"/>
        <item x="228"/>
        <item x="62"/>
        <item x="49"/>
        <item x="89"/>
        <item x="205"/>
        <item x="70"/>
        <item x="279"/>
        <item x="91"/>
        <item x="21"/>
        <item x="173"/>
        <item x="174"/>
        <item x="53"/>
        <item x="282"/>
        <item x="93"/>
        <item x="52"/>
        <item x="245"/>
        <item x="54"/>
        <item x="261"/>
        <item x="3"/>
        <item x="249"/>
        <item x="178"/>
        <item x="179"/>
        <item x="104"/>
        <item x="97"/>
        <item x="36"/>
        <item x="58"/>
        <item x="75"/>
        <item x="258"/>
        <item x="148"/>
        <item x="106"/>
        <item x="286"/>
        <item x="134"/>
        <item x="169"/>
        <item x="83"/>
        <item x="61"/>
        <item x="210"/>
        <item x="119"/>
        <item x="23"/>
        <item x="175"/>
        <item x="46"/>
        <item x="76"/>
        <item x="280"/>
        <item x="6"/>
        <item x="86"/>
        <item x="71"/>
        <item x="215"/>
        <item x="172"/>
        <item x="203"/>
        <item x="159"/>
        <item x="110"/>
        <item x="233"/>
        <item x="154"/>
        <item x="138"/>
        <item x="276"/>
        <item x="103"/>
        <item x="84"/>
        <item x="101"/>
        <item x="177"/>
        <item x="241"/>
        <item x="260"/>
        <item x="109"/>
        <item x="88"/>
        <item x="206"/>
        <item x="264"/>
        <item x="269"/>
        <item x="12"/>
        <item x="171"/>
        <item x="48"/>
        <item x="77"/>
        <item x="146"/>
        <item x="198"/>
        <item x="246"/>
        <item x="255"/>
        <item x="283"/>
        <item x="196"/>
        <item x="247"/>
        <item x="19"/>
        <item x="211"/>
        <item x="47"/>
        <item x="40"/>
        <item x="273"/>
        <item x="34"/>
        <item x="42"/>
        <item x="242"/>
        <item x="270"/>
        <item x="2"/>
        <item x="43"/>
        <item x="304"/>
        <item x="108"/>
        <item x="39"/>
        <item x="142"/>
        <item x="56"/>
        <item x="121"/>
        <item x="182"/>
        <item x="31"/>
        <item x="135"/>
        <item x="166"/>
        <item x="250"/>
        <item x="22"/>
        <item x="289"/>
        <item x="20"/>
        <item x="130"/>
        <item x="224"/>
        <item x="297"/>
        <item x="35"/>
        <item x="165"/>
        <item x="227"/>
        <item x="96"/>
        <item x="87"/>
        <item x="153"/>
        <item x="17"/>
        <item x="217"/>
        <item x="30"/>
        <item x="137"/>
        <item x="191"/>
        <item x="133"/>
        <item x="244"/>
        <item x="69"/>
        <item x="123"/>
        <item x="158"/>
        <item x="229"/>
        <item x="139"/>
        <item x="163"/>
        <item x="147"/>
        <item x="15"/>
        <item x="143"/>
        <item x="230"/>
        <item x="202"/>
        <item x="116"/>
        <item x="216"/>
        <item x="302"/>
        <item x="81"/>
        <item x="55"/>
        <item x="122"/>
        <item x="162"/>
        <item x="27"/>
        <item x="120"/>
        <item x="285"/>
        <item x="252"/>
        <item x="207"/>
        <item x="237"/>
        <item x="156"/>
        <item x="140"/>
        <item x="257"/>
        <item x="59"/>
        <item x="243"/>
        <item x="107"/>
        <item x="145"/>
        <item x="226"/>
        <item x="190"/>
        <item x="259"/>
        <item x="41"/>
        <item x="128"/>
        <item x="157"/>
        <item x="141"/>
        <item x="38"/>
        <item x="292"/>
        <item x="300"/>
        <item x="25"/>
        <item x="8"/>
        <item x="287"/>
        <item x="95"/>
        <item x="220"/>
        <item x="161"/>
        <item x="262"/>
        <item x="176"/>
        <item x="238"/>
        <item x="126"/>
        <item x="57"/>
        <item x="44"/>
        <item x="213"/>
        <item x="181"/>
        <item x="253"/>
        <item x="284"/>
        <item x="102"/>
        <item x="79"/>
        <item x="112"/>
        <item x="73"/>
        <item x="113"/>
        <item x="5"/>
        <item x="45"/>
        <item x="294"/>
        <item x="144"/>
        <item x="298"/>
        <item x="111"/>
        <item x="117"/>
        <item x="248"/>
        <item x="98"/>
        <item x="7"/>
        <item x="129"/>
        <item x="18"/>
        <item x="60"/>
        <item x="251"/>
        <item x="105"/>
        <item x="267"/>
        <item x="26"/>
        <item x="303"/>
        <item x="82"/>
        <item x="192"/>
        <item x="151"/>
        <item x="254"/>
        <item x="236"/>
        <item x="218"/>
        <item x="271"/>
        <item x="184"/>
        <item x="307"/>
        <item x="186"/>
        <item x="201"/>
        <item x="272"/>
        <item x="28"/>
        <item x="296"/>
        <item x="193"/>
        <item t="default"/>
      </items>
    </pivotField>
    <pivotField showAll="0"/>
    <pivotField showAll="0"/>
    <pivotField showAll="0"/>
    <pivotField showAll="0">
      <items count="6">
        <item x="1"/>
        <item x="3"/>
        <item x="2"/>
        <item x="4"/>
        <item x="0"/>
        <item t="default"/>
      </items>
    </pivotField>
    <pivotField showAll="0"/>
    <pivotField showAll="0"/>
    <pivotField showAll="0">
      <items count="13">
        <item x="4"/>
        <item x="2"/>
        <item x="1"/>
        <item x="8"/>
        <item x="5"/>
        <item x="10"/>
        <item x="11"/>
        <item x="7"/>
        <item x="0"/>
        <item x="3"/>
        <item x="9"/>
        <item x="6"/>
        <item t="default"/>
      </items>
    </pivotField>
    <pivotField showAll="0"/>
    <pivotField showAll="0"/>
    <pivotField numFmtId="164" showAll="0"/>
    <pivotField showAll="0"/>
    <pivotField showAll="0"/>
    <pivotField showAll="0"/>
    <pivotField showAll="0"/>
    <pivotField numFmtId="164" showAll="0"/>
    <pivotField dataField="1" showAll="0">
      <items count="407">
        <item x="25"/>
        <item x="128"/>
        <item x="218"/>
        <item x="153"/>
        <item x="252"/>
        <item x="34"/>
        <item x="318"/>
        <item x="309"/>
        <item x="121"/>
        <item x="231"/>
        <item x="177"/>
        <item x="12"/>
        <item x="0"/>
        <item x="83"/>
        <item x="248"/>
        <item x="99"/>
        <item x="322"/>
        <item x="404"/>
        <item x="145"/>
        <item x="383"/>
        <item x="196"/>
        <item x="203"/>
        <item x="326"/>
        <item x="172"/>
        <item x="156"/>
        <item x="319"/>
        <item x="37"/>
        <item x="179"/>
        <item x="138"/>
        <item x="200"/>
        <item x="380"/>
        <item x="216"/>
        <item x="23"/>
        <item x="47"/>
        <item x="26"/>
        <item x="364"/>
        <item x="276"/>
        <item x="285"/>
        <item x="300"/>
        <item x="88"/>
        <item x="313"/>
        <item x="43"/>
        <item x="365"/>
        <item x="301"/>
        <item x="362"/>
        <item x="167"/>
        <item x="388"/>
        <item x="118"/>
        <item x="401"/>
        <item x="126"/>
        <item x="159"/>
        <item x="87"/>
        <item x="221"/>
        <item x="107"/>
        <item x="367"/>
        <item x="135"/>
        <item x="30"/>
        <item x="267"/>
        <item x="294"/>
        <item x="280"/>
        <item x="67"/>
        <item x="373"/>
        <item x="75"/>
        <item x="256"/>
        <item x="254"/>
        <item x="292"/>
        <item x="393"/>
        <item x="2"/>
        <item x="157"/>
        <item x="124"/>
        <item x="374"/>
        <item x="144"/>
        <item x="341"/>
        <item x="348"/>
        <item x="358"/>
        <item x="332"/>
        <item x="355"/>
        <item x="394"/>
        <item x="40"/>
        <item x="317"/>
        <item x="59"/>
        <item x="402"/>
        <item x="134"/>
        <item x="71"/>
        <item x="269"/>
        <item x="77"/>
        <item x="150"/>
        <item x="143"/>
        <item x="53"/>
        <item x="6"/>
        <item x="86"/>
        <item x="244"/>
        <item x="176"/>
        <item x="85"/>
        <item x="163"/>
        <item x="334"/>
        <item x="275"/>
        <item x="205"/>
        <item x="206"/>
        <item x="354"/>
        <item x="214"/>
        <item x="215"/>
        <item x="116"/>
        <item x="89"/>
        <item x="208"/>
        <item x="235"/>
        <item x="346"/>
        <item x="129"/>
        <item x="243"/>
        <item x="101"/>
        <item x="14"/>
        <item x="16"/>
        <item x="189"/>
        <item x="193"/>
        <item x="152"/>
        <item x="397"/>
        <item x="297"/>
        <item x="298"/>
        <item x="81"/>
        <item x="263"/>
        <item x="127"/>
        <item x="54"/>
        <item x="169"/>
        <item x="245"/>
        <item x="259"/>
        <item x="224"/>
        <item x="36"/>
        <item x="323"/>
        <item x="381"/>
        <item x="253"/>
        <item x="338"/>
        <item x="251"/>
        <item x="158"/>
        <item x="237"/>
        <item x="102"/>
        <item x="132"/>
        <item x="68"/>
        <item x="155"/>
        <item x="11"/>
        <item x="283"/>
        <item x="194"/>
        <item x="392"/>
        <item x="185"/>
        <item x="371"/>
        <item x="314"/>
        <item x="80"/>
        <item x="302"/>
        <item x="238"/>
        <item x="352"/>
        <item x="287"/>
        <item x="8"/>
        <item x="4"/>
        <item x="202"/>
        <item x="61"/>
        <item x="250"/>
        <item x="227"/>
        <item x="69"/>
        <item x="119"/>
        <item x="225"/>
        <item x="344"/>
        <item x="273"/>
        <item x="168"/>
        <item x="234"/>
        <item x="20"/>
        <item x="282"/>
        <item x="278"/>
        <item x="149"/>
        <item x="307"/>
        <item x="339"/>
        <item x="217"/>
        <item x="94"/>
        <item x="125"/>
        <item x="400"/>
        <item x="329"/>
        <item x="328"/>
        <item x="389"/>
        <item x="66"/>
        <item x="29"/>
        <item x="240"/>
        <item x="201"/>
        <item x="122"/>
        <item x="266"/>
        <item x="191"/>
        <item x="44"/>
        <item x="260"/>
        <item x="212"/>
        <item x="49"/>
        <item x="361"/>
        <item x="175"/>
        <item x="226"/>
        <item x="246"/>
        <item x="74"/>
        <item x="140"/>
        <item x="342"/>
        <item x="331"/>
        <item x="268"/>
        <item x="299"/>
        <item x="325"/>
        <item x="356"/>
        <item x="228"/>
        <item x="105"/>
        <item x="369"/>
        <item x="137"/>
        <item x="130"/>
        <item x="213"/>
        <item x="210"/>
        <item x="242"/>
        <item x="141"/>
        <item x="151"/>
        <item x="173"/>
        <item x="291"/>
        <item x="375"/>
        <item x="233"/>
        <item x="113"/>
        <item x="112"/>
        <item x="165"/>
        <item x="18"/>
        <item x="272"/>
        <item x="390"/>
        <item x="73"/>
        <item x="70"/>
        <item x="161"/>
        <item x="91"/>
        <item x="104"/>
        <item x="146"/>
        <item x="209"/>
        <item x="1"/>
        <item x="197"/>
        <item x="271"/>
        <item x="395"/>
        <item x="204"/>
        <item x="368"/>
        <item x="147"/>
        <item x="330"/>
        <item x="232"/>
        <item x="96"/>
        <item x="229"/>
        <item x="315"/>
        <item x="148"/>
        <item x="184"/>
        <item x="279"/>
        <item x="223"/>
        <item x="289"/>
        <item x="117"/>
        <item x="131"/>
        <item x="207"/>
        <item x="239"/>
        <item x="48"/>
        <item x="56"/>
        <item x="21"/>
        <item x="311"/>
        <item x="306"/>
        <item x="39"/>
        <item x="195"/>
        <item x="115"/>
        <item x="35"/>
        <item x="274"/>
        <item x="398"/>
        <item x="58"/>
        <item x="290"/>
        <item x="103"/>
        <item x="154"/>
        <item x="72"/>
        <item x="139"/>
        <item x="236"/>
        <item x="171"/>
        <item x="133"/>
        <item x="63"/>
        <item x="123"/>
        <item x="108"/>
        <item x="363"/>
        <item x="337"/>
        <item x="220"/>
        <item x="79"/>
        <item x="333"/>
        <item x="92"/>
        <item x="46"/>
        <item x="10"/>
        <item x="340"/>
        <item x="396"/>
        <item x="247"/>
        <item x="336"/>
        <item x="78"/>
        <item x="178"/>
        <item x="316"/>
        <item x="100"/>
        <item x="312"/>
        <item x="7"/>
        <item x="211"/>
        <item x="386"/>
        <item x="284"/>
        <item x="17"/>
        <item x="308"/>
        <item x="186"/>
        <item x="180"/>
        <item x="120"/>
        <item x="357"/>
        <item x="174"/>
        <item x="384"/>
        <item x="28"/>
        <item x="41"/>
        <item x="258"/>
        <item x="257"/>
        <item x="403"/>
        <item x="304"/>
        <item x="295"/>
        <item x="3"/>
        <item x="13"/>
        <item x="305"/>
        <item x="370"/>
        <item x="385"/>
        <item x="198"/>
        <item x="97"/>
        <item x="98"/>
        <item x="50"/>
        <item x="262"/>
        <item x="190"/>
        <item x="31"/>
        <item x="164"/>
        <item x="320"/>
        <item x="84"/>
        <item x="376"/>
        <item x="350"/>
        <item x="293"/>
        <item x="60"/>
        <item x="19"/>
        <item x="9"/>
        <item x="166"/>
        <item x="51"/>
        <item x="199"/>
        <item x="349"/>
        <item x="76"/>
        <item x="42"/>
        <item x="52"/>
        <item x="24"/>
        <item x="110"/>
        <item x="38"/>
        <item x="366"/>
        <item x="310"/>
        <item x="65"/>
        <item x="399"/>
        <item x="142"/>
        <item x="303"/>
        <item x="109"/>
        <item x="405"/>
        <item x="181"/>
        <item x="136"/>
        <item x="281"/>
        <item x="187"/>
        <item x="288"/>
        <item x="62"/>
        <item x="296"/>
        <item x="114"/>
        <item x="90"/>
        <item x="111"/>
        <item x="360"/>
        <item x="183"/>
        <item x="222"/>
        <item x="270"/>
        <item x="359"/>
        <item x="265"/>
        <item x="327"/>
        <item x="347"/>
        <item x="162"/>
        <item x="255"/>
        <item x="15"/>
        <item x="45"/>
        <item x="188"/>
        <item x="33"/>
        <item x="353"/>
        <item x="160"/>
        <item x="286"/>
        <item x="106"/>
        <item x="219"/>
        <item x="324"/>
        <item x="345"/>
        <item x="27"/>
        <item x="391"/>
        <item x="249"/>
        <item x="95"/>
        <item x="82"/>
        <item x="264"/>
        <item x="64"/>
        <item x="5"/>
        <item x="377"/>
        <item x="57"/>
        <item x="343"/>
        <item x="351"/>
        <item x="170"/>
        <item x="192"/>
        <item x="230"/>
        <item x="321"/>
        <item x="372"/>
        <item x="32"/>
        <item x="55"/>
        <item x="335"/>
        <item x="387"/>
        <item x="382"/>
        <item x="379"/>
        <item x="241"/>
        <item x="93"/>
        <item x="378"/>
        <item x="261"/>
        <item x="182"/>
        <item x="277"/>
        <item x="22"/>
        <item t="default"/>
      </items>
    </pivotField>
    <pivotField numFmtId="164"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h="1" sd="0" x="2"/>
        <item sd="0" x="3"/>
        <item sd="0" x="4"/>
        <item sd="0" x="5"/>
        <item sd="0" x="6"/>
        <item sd="0" x="7"/>
        <item sd="0" x="8"/>
        <item sd="0" x="9"/>
        <item sd="0" x="10"/>
        <item sd="0" x="11"/>
        <item sd="0" x="12"/>
        <item h="1" sd="0" x="13"/>
        <item t="default"/>
      </items>
    </pivotField>
  </pivotFields>
  <rowFields count="1">
    <field x="22"/>
  </rowFields>
  <rowItems count="12">
    <i>
      <x v="1"/>
    </i>
    <i>
      <x v="3"/>
    </i>
    <i>
      <x v="4"/>
    </i>
    <i>
      <x v="5"/>
    </i>
    <i>
      <x v="6"/>
    </i>
    <i>
      <x v="7"/>
    </i>
    <i>
      <x v="8"/>
    </i>
    <i>
      <x v="9"/>
    </i>
    <i>
      <x v="10"/>
    </i>
    <i>
      <x v="11"/>
    </i>
    <i>
      <x v="12"/>
    </i>
    <i t="grand">
      <x/>
    </i>
  </rowItems>
  <colItems count="1">
    <i/>
  </colItems>
  <dataFields count="1">
    <dataField name="Sum of NetRevenue" fld="17"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F7D51-5652-4DC7-A9CA-9C26D096A113}"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4" firstHeaderRow="1" firstDataRow="1" firstDataCol="1"/>
  <pivotFields count="23">
    <pivotField showAll="0"/>
    <pivotField numFmtId="173" showAll="0">
      <items count="309">
        <item x="208"/>
        <item x="11"/>
        <item x="187"/>
        <item x="263"/>
        <item x="275"/>
        <item x="10"/>
        <item x="64"/>
        <item x="63"/>
        <item x="150"/>
        <item x="219"/>
        <item x="164"/>
        <item x="293"/>
        <item x="197"/>
        <item x="214"/>
        <item x="212"/>
        <item x="278"/>
        <item x="281"/>
        <item x="32"/>
        <item x="240"/>
        <item x="131"/>
        <item x="167"/>
        <item x="204"/>
        <item x="132"/>
        <item x="51"/>
        <item x="94"/>
        <item x="222"/>
        <item x="295"/>
        <item x="13"/>
        <item x="199"/>
        <item x="168"/>
        <item x="277"/>
        <item x="65"/>
        <item x="24"/>
        <item x="16"/>
        <item x="185"/>
        <item x="67"/>
        <item x="114"/>
        <item x="265"/>
        <item x="118"/>
        <item x="200"/>
        <item x="306"/>
        <item x="291"/>
        <item x="180"/>
        <item x="125"/>
        <item x="100"/>
        <item x="99"/>
        <item x="85"/>
        <item x="194"/>
        <item x="78"/>
        <item x="124"/>
        <item x="29"/>
        <item x="209"/>
        <item x="127"/>
        <item x="301"/>
        <item x="183"/>
        <item x="72"/>
        <item x="66"/>
        <item x="288"/>
        <item x="225"/>
        <item x="50"/>
        <item x="235"/>
        <item x="195"/>
        <item x="188"/>
        <item x="189"/>
        <item x="149"/>
        <item x="0"/>
        <item x="68"/>
        <item x="305"/>
        <item x="74"/>
        <item x="231"/>
        <item x="115"/>
        <item x="9"/>
        <item x="90"/>
        <item x="256"/>
        <item x="160"/>
        <item x="14"/>
        <item x="80"/>
        <item x="266"/>
        <item x="299"/>
        <item x="152"/>
        <item x="268"/>
        <item x="234"/>
        <item x="37"/>
        <item x="290"/>
        <item x="136"/>
        <item x="274"/>
        <item x="221"/>
        <item x="4"/>
        <item x="232"/>
        <item x="1"/>
        <item x="239"/>
        <item x="155"/>
        <item x="170"/>
        <item x="223"/>
        <item x="92"/>
        <item x="33"/>
        <item x="228"/>
        <item x="62"/>
        <item x="49"/>
        <item x="89"/>
        <item x="205"/>
        <item x="70"/>
        <item x="279"/>
        <item x="91"/>
        <item x="21"/>
        <item x="173"/>
        <item x="174"/>
        <item x="53"/>
        <item x="282"/>
        <item x="93"/>
        <item x="52"/>
        <item x="245"/>
        <item x="54"/>
        <item x="261"/>
        <item x="3"/>
        <item x="249"/>
        <item x="178"/>
        <item x="179"/>
        <item x="104"/>
        <item x="97"/>
        <item x="36"/>
        <item x="58"/>
        <item x="75"/>
        <item x="258"/>
        <item x="148"/>
        <item x="106"/>
        <item x="286"/>
        <item x="134"/>
        <item x="169"/>
        <item x="83"/>
        <item x="61"/>
        <item x="210"/>
        <item x="119"/>
        <item x="23"/>
        <item x="175"/>
        <item x="46"/>
        <item x="76"/>
        <item x="280"/>
        <item x="6"/>
        <item x="86"/>
        <item x="71"/>
        <item x="215"/>
        <item x="172"/>
        <item x="203"/>
        <item x="159"/>
        <item x="110"/>
        <item x="233"/>
        <item x="154"/>
        <item x="138"/>
        <item x="276"/>
        <item x="103"/>
        <item x="84"/>
        <item x="101"/>
        <item x="177"/>
        <item x="241"/>
        <item x="260"/>
        <item x="109"/>
        <item x="88"/>
        <item x="206"/>
        <item x="264"/>
        <item x="269"/>
        <item x="12"/>
        <item x="171"/>
        <item x="48"/>
        <item x="77"/>
        <item x="146"/>
        <item x="198"/>
        <item x="246"/>
        <item x="255"/>
        <item x="283"/>
        <item x="196"/>
        <item x="247"/>
        <item x="19"/>
        <item x="211"/>
        <item x="47"/>
        <item x="40"/>
        <item x="273"/>
        <item x="34"/>
        <item x="42"/>
        <item x="242"/>
        <item x="270"/>
        <item x="2"/>
        <item x="43"/>
        <item x="304"/>
        <item x="108"/>
        <item x="39"/>
        <item x="142"/>
        <item x="56"/>
        <item x="121"/>
        <item x="182"/>
        <item x="31"/>
        <item x="135"/>
        <item x="166"/>
        <item x="250"/>
        <item x="22"/>
        <item x="289"/>
        <item x="20"/>
        <item x="130"/>
        <item x="224"/>
        <item x="297"/>
        <item x="35"/>
        <item x="165"/>
        <item x="227"/>
        <item x="96"/>
        <item x="87"/>
        <item x="153"/>
        <item x="17"/>
        <item x="217"/>
        <item x="30"/>
        <item x="137"/>
        <item x="191"/>
        <item x="133"/>
        <item x="244"/>
        <item x="69"/>
        <item x="123"/>
        <item x="158"/>
        <item x="229"/>
        <item x="139"/>
        <item x="163"/>
        <item x="147"/>
        <item x="15"/>
        <item x="143"/>
        <item x="230"/>
        <item x="202"/>
        <item x="116"/>
        <item x="216"/>
        <item x="302"/>
        <item x="81"/>
        <item x="55"/>
        <item x="122"/>
        <item x="162"/>
        <item x="27"/>
        <item x="120"/>
        <item x="285"/>
        <item x="252"/>
        <item x="207"/>
        <item x="237"/>
        <item x="156"/>
        <item x="140"/>
        <item x="257"/>
        <item x="59"/>
        <item x="243"/>
        <item x="107"/>
        <item x="145"/>
        <item x="226"/>
        <item x="190"/>
        <item x="259"/>
        <item x="41"/>
        <item x="128"/>
        <item x="157"/>
        <item x="141"/>
        <item x="38"/>
        <item x="292"/>
        <item x="300"/>
        <item x="25"/>
        <item x="8"/>
        <item x="287"/>
        <item x="95"/>
        <item x="220"/>
        <item x="161"/>
        <item x="262"/>
        <item x="176"/>
        <item x="238"/>
        <item x="126"/>
        <item x="57"/>
        <item x="44"/>
        <item x="213"/>
        <item x="181"/>
        <item x="253"/>
        <item x="284"/>
        <item x="102"/>
        <item x="79"/>
        <item x="112"/>
        <item x="73"/>
        <item x="113"/>
        <item x="5"/>
        <item x="45"/>
        <item x="294"/>
        <item x="144"/>
        <item x="298"/>
        <item x="111"/>
        <item x="117"/>
        <item x="248"/>
        <item x="98"/>
        <item x="7"/>
        <item x="129"/>
        <item x="18"/>
        <item x="60"/>
        <item x="251"/>
        <item x="105"/>
        <item x="267"/>
        <item x="26"/>
        <item x="303"/>
        <item x="82"/>
        <item x="192"/>
        <item x="151"/>
        <item x="254"/>
        <item x="236"/>
        <item x="218"/>
        <item x="271"/>
        <item x="184"/>
        <item x="307"/>
        <item x="186"/>
        <item x="201"/>
        <item x="272"/>
        <item x="28"/>
        <item x="296"/>
        <item x="193"/>
        <item t="default"/>
      </items>
    </pivotField>
    <pivotField showAll="0"/>
    <pivotField showAll="0"/>
    <pivotField showAll="0"/>
    <pivotField showAll="0">
      <items count="6">
        <item x="1"/>
        <item x="3"/>
        <item x="2"/>
        <item x="4"/>
        <item x="0"/>
        <item t="default"/>
      </items>
    </pivotField>
    <pivotField showAll="0"/>
    <pivotField showAll="0"/>
    <pivotField axis="axisRow" showAll="0">
      <items count="13">
        <item x="4"/>
        <item x="2"/>
        <item x="1"/>
        <item x="8"/>
        <item x="5"/>
        <item x="10"/>
        <item x="11"/>
        <item x="7"/>
        <item x="0"/>
        <item x="3"/>
        <item x="9"/>
        <item x="6"/>
        <item t="default"/>
      </items>
    </pivotField>
    <pivotField showAll="0"/>
    <pivotField showAll="0"/>
    <pivotField numFmtId="164" showAll="0"/>
    <pivotField showAll="0"/>
    <pivotField showAll="0"/>
    <pivotField showAll="0"/>
    <pivotField showAll="0"/>
    <pivotField numFmtId="164" showAll="0"/>
    <pivotField dataField="1" showAll="0">
      <items count="407">
        <item x="25"/>
        <item x="128"/>
        <item x="218"/>
        <item x="153"/>
        <item x="252"/>
        <item x="34"/>
        <item x="318"/>
        <item x="309"/>
        <item x="121"/>
        <item x="231"/>
        <item x="177"/>
        <item x="12"/>
        <item x="0"/>
        <item x="83"/>
        <item x="248"/>
        <item x="99"/>
        <item x="322"/>
        <item x="404"/>
        <item x="145"/>
        <item x="383"/>
        <item x="196"/>
        <item x="203"/>
        <item x="326"/>
        <item x="172"/>
        <item x="156"/>
        <item x="319"/>
        <item x="37"/>
        <item x="179"/>
        <item x="138"/>
        <item x="200"/>
        <item x="380"/>
        <item x="216"/>
        <item x="23"/>
        <item x="47"/>
        <item x="26"/>
        <item x="364"/>
        <item x="276"/>
        <item x="285"/>
        <item x="300"/>
        <item x="88"/>
        <item x="313"/>
        <item x="43"/>
        <item x="365"/>
        <item x="301"/>
        <item x="362"/>
        <item x="167"/>
        <item x="388"/>
        <item x="118"/>
        <item x="401"/>
        <item x="126"/>
        <item x="159"/>
        <item x="87"/>
        <item x="221"/>
        <item x="107"/>
        <item x="367"/>
        <item x="135"/>
        <item x="30"/>
        <item x="267"/>
        <item x="294"/>
        <item x="280"/>
        <item x="67"/>
        <item x="373"/>
        <item x="75"/>
        <item x="256"/>
        <item x="254"/>
        <item x="292"/>
        <item x="393"/>
        <item x="2"/>
        <item x="157"/>
        <item x="124"/>
        <item x="374"/>
        <item x="144"/>
        <item x="341"/>
        <item x="348"/>
        <item x="358"/>
        <item x="332"/>
        <item x="355"/>
        <item x="394"/>
        <item x="40"/>
        <item x="317"/>
        <item x="59"/>
        <item x="402"/>
        <item x="134"/>
        <item x="71"/>
        <item x="269"/>
        <item x="77"/>
        <item x="150"/>
        <item x="143"/>
        <item x="53"/>
        <item x="6"/>
        <item x="86"/>
        <item x="244"/>
        <item x="176"/>
        <item x="85"/>
        <item x="163"/>
        <item x="334"/>
        <item x="275"/>
        <item x="205"/>
        <item x="206"/>
        <item x="354"/>
        <item x="214"/>
        <item x="215"/>
        <item x="116"/>
        <item x="89"/>
        <item x="208"/>
        <item x="235"/>
        <item x="346"/>
        <item x="129"/>
        <item x="243"/>
        <item x="101"/>
        <item x="14"/>
        <item x="16"/>
        <item x="189"/>
        <item x="193"/>
        <item x="152"/>
        <item x="397"/>
        <item x="297"/>
        <item x="298"/>
        <item x="81"/>
        <item x="263"/>
        <item x="127"/>
        <item x="54"/>
        <item x="169"/>
        <item x="245"/>
        <item x="259"/>
        <item x="224"/>
        <item x="36"/>
        <item x="323"/>
        <item x="381"/>
        <item x="253"/>
        <item x="338"/>
        <item x="251"/>
        <item x="158"/>
        <item x="237"/>
        <item x="102"/>
        <item x="132"/>
        <item x="68"/>
        <item x="155"/>
        <item x="11"/>
        <item x="283"/>
        <item x="194"/>
        <item x="392"/>
        <item x="185"/>
        <item x="371"/>
        <item x="314"/>
        <item x="80"/>
        <item x="302"/>
        <item x="238"/>
        <item x="352"/>
        <item x="287"/>
        <item x="8"/>
        <item x="4"/>
        <item x="202"/>
        <item x="61"/>
        <item x="250"/>
        <item x="227"/>
        <item x="69"/>
        <item x="119"/>
        <item x="225"/>
        <item x="344"/>
        <item x="273"/>
        <item x="168"/>
        <item x="234"/>
        <item x="20"/>
        <item x="282"/>
        <item x="278"/>
        <item x="149"/>
        <item x="307"/>
        <item x="339"/>
        <item x="217"/>
        <item x="94"/>
        <item x="125"/>
        <item x="400"/>
        <item x="329"/>
        <item x="328"/>
        <item x="389"/>
        <item x="66"/>
        <item x="29"/>
        <item x="240"/>
        <item x="201"/>
        <item x="122"/>
        <item x="266"/>
        <item x="191"/>
        <item x="44"/>
        <item x="260"/>
        <item x="212"/>
        <item x="49"/>
        <item x="361"/>
        <item x="175"/>
        <item x="226"/>
        <item x="246"/>
        <item x="74"/>
        <item x="140"/>
        <item x="342"/>
        <item x="331"/>
        <item x="268"/>
        <item x="299"/>
        <item x="325"/>
        <item x="356"/>
        <item x="228"/>
        <item x="105"/>
        <item x="369"/>
        <item x="137"/>
        <item x="130"/>
        <item x="213"/>
        <item x="210"/>
        <item x="242"/>
        <item x="141"/>
        <item x="151"/>
        <item x="173"/>
        <item x="291"/>
        <item x="375"/>
        <item x="233"/>
        <item x="113"/>
        <item x="112"/>
        <item x="165"/>
        <item x="18"/>
        <item x="272"/>
        <item x="390"/>
        <item x="73"/>
        <item x="70"/>
        <item x="161"/>
        <item x="91"/>
        <item x="104"/>
        <item x="146"/>
        <item x="209"/>
        <item x="1"/>
        <item x="197"/>
        <item x="271"/>
        <item x="395"/>
        <item x="204"/>
        <item x="368"/>
        <item x="147"/>
        <item x="330"/>
        <item x="232"/>
        <item x="96"/>
        <item x="229"/>
        <item x="315"/>
        <item x="148"/>
        <item x="184"/>
        <item x="279"/>
        <item x="223"/>
        <item x="289"/>
        <item x="117"/>
        <item x="131"/>
        <item x="207"/>
        <item x="239"/>
        <item x="48"/>
        <item x="56"/>
        <item x="21"/>
        <item x="311"/>
        <item x="306"/>
        <item x="39"/>
        <item x="195"/>
        <item x="115"/>
        <item x="35"/>
        <item x="274"/>
        <item x="398"/>
        <item x="58"/>
        <item x="290"/>
        <item x="103"/>
        <item x="154"/>
        <item x="72"/>
        <item x="139"/>
        <item x="236"/>
        <item x="171"/>
        <item x="133"/>
        <item x="63"/>
        <item x="123"/>
        <item x="108"/>
        <item x="363"/>
        <item x="337"/>
        <item x="220"/>
        <item x="79"/>
        <item x="333"/>
        <item x="92"/>
        <item x="46"/>
        <item x="10"/>
        <item x="340"/>
        <item x="396"/>
        <item x="247"/>
        <item x="336"/>
        <item x="78"/>
        <item x="178"/>
        <item x="316"/>
        <item x="100"/>
        <item x="312"/>
        <item x="7"/>
        <item x="211"/>
        <item x="386"/>
        <item x="284"/>
        <item x="17"/>
        <item x="308"/>
        <item x="186"/>
        <item x="180"/>
        <item x="120"/>
        <item x="357"/>
        <item x="174"/>
        <item x="384"/>
        <item x="28"/>
        <item x="41"/>
        <item x="258"/>
        <item x="257"/>
        <item x="403"/>
        <item x="304"/>
        <item x="295"/>
        <item x="3"/>
        <item x="13"/>
        <item x="305"/>
        <item x="370"/>
        <item x="385"/>
        <item x="198"/>
        <item x="97"/>
        <item x="98"/>
        <item x="50"/>
        <item x="262"/>
        <item x="190"/>
        <item x="31"/>
        <item x="164"/>
        <item x="320"/>
        <item x="84"/>
        <item x="376"/>
        <item x="350"/>
        <item x="293"/>
        <item x="60"/>
        <item x="19"/>
        <item x="9"/>
        <item x="166"/>
        <item x="51"/>
        <item x="199"/>
        <item x="349"/>
        <item x="76"/>
        <item x="42"/>
        <item x="52"/>
        <item x="24"/>
        <item x="110"/>
        <item x="38"/>
        <item x="366"/>
        <item x="310"/>
        <item x="65"/>
        <item x="399"/>
        <item x="142"/>
        <item x="303"/>
        <item x="109"/>
        <item x="405"/>
        <item x="181"/>
        <item x="136"/>
        <item x="281"/>
        <item x="187"/>
        <item x="288"/>
        <item x="62"/>
        <item x="296"/>
        <item x="114"/>
        <item x="90"/>
        <item x="111"/>
        <item x="360"/>
        <item x="183"/>
        <item x="222"/>
        <item x="270"/>
        <item x="359"/>
        <item x="265"/>
        <item x="327"/>
        <item x="347"/>
        <item x="162"/>
        <item x="255"/>
        <item x="15"/>
        <item x="45"/>
        <item x="188"/>
        <item x="33"/>
        <item x="353"/>
        <item x="160"/>
        <item x="286"/>
        <item x="106"/>
        <item x="219"/>
        <item x="324"/>
        <item x="345"/>
        <item x="27"/>
        <item x="391"/>
        <item x="249"/>
        <item x="95"/>
        <item x="82"/>
        <item x="264"/>
        <item x="64"/>
        <item x="5"/>
        <item x="377"/>
        <item x="57"/>
        <item x="343"/>
        <item x="351"/>
        <item x="170"/>
        <item x="192"/>
        <item x="230"/>
        <item x="321"/>
        <item x="372"/>
        <item x="32"/>
        <item x="55"/>
        <item x="335"/>
        <item x="387"/>
        <item x="382"/>
        <item x="379"/>
        <item x="241"/>
        <item x="93"/>
        <item x="378"/>
        <item x="261"/>
        <item x="182"/>
        <item x="277"/>
        <item x="22"/>
        <item t="default"/>
      </items>
    </pivotField>
    <pivotField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x="3"/>
        <item x="4"/>
        <item x="5"/>
        <item x="6"/>
        <item x="7"/>
        <item x="8"/>
        <item x="9"/>
        <item x="10"/>
        <item x="11"/>
        <item x="12"/>
        <item h="1" x="1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NetRevenue" fld="17" baseField="0" baseItem="0"/>
  </dataFields>
  <chartFormats count="2">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DA959-8FEA-4B8E-8027-6BE935CDF9DC}"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7" firstHeaderRow="1" firstDataRow="1" firstDataCol="1"/>
  <pivotFields count="23">
    <pivotField showAll="0"/>
    <pivotField numFmtId="173" showAll="0">
      <items count="309">
        <item x="208"/>
        <item x="11"/>
        <item x="187"/>
        <item x="263"/>
        <item x="275"/>
        <item x="10"/>
        <item x="64"/>
        <item x="63"/>
        <item x="150"/>
        <item x="219"/>
        <item x="164"/>
        <item x="293"/>
        <item x="197"/>
        <item x="214"/>
        <item x="212"/>
        <item x="278"/>
        <item x="281"/>
        <item x="32"/>
        <item x="240"/>
        <item x="131"/>
        <item x="167"/>
        <item x="204"/>
        <item x="132"/>
        <item x="51"/>
        <item x="94"/>
        <item x="222"/>
        <item x="295"/>
        <item x="13"/>
        <item x="199"/>
        <item x="168"/>
        <item x="277"/>
        <item x="65"/>
        <item x="24"/>
        <item x="16"/>
        <item x="185"/>
        <item x="67"/>
        <item x="114"/>
        <item x="265"/>
        <item x="118"/>
        <item x="200"/>
        <item x="306"/>
        <item x="291"/>
        <item x="180"/>
        <item x="125"/>
        <item x="100"/>
        <item x="99"/>
        <item x="85"/>
        <item x="194"/>
        <item x="78"/>
        <item x="124"/>
        <item x="29"/>
        <item x="209"/>
        <item x="127"/>
        <item x="301"/>
        <item x="183"/>
        <item x="72"/>
        <item x="66"/>
        <item x="288"/>
        <item x="225"/>
        <item x="50"/>
        <item x="235"/>
        <item x="195"/>
        <item x="188"/>
        <item x="189"/>
        <item x="149"/>
        <item x="0"/>
        <item x="68"/>
        <item x="305"/>
        <item x="74"/>
        <item x="231"/>
        <item x="115"/>
        <item x="9"/>
        <item x="90"/>
        <item x="256"/>
        <item x="160"/>
        <item x="14"/>
        <item x="80"/>
        <item x="266"/>
        <item x="299"/>
        <item x="152"/>
        <item x="268"/>
        <item x="234"/>
        <item x="37"/>
        <item x="290"/>
        <item x="136"/>
        <item x="274"/>
        <item x="221"/>
        <item x="4"/>
        <item x="232"/>
        <item x="1"/>
        <item x="239"/>
        <item x="155"/>
        <item x="170"/>
        <item x="223"/>
        <item x="92"/>
        <item x="33"/>
        <item x="228"/>
        <item x="62"/>
        <item x="49"/>
        <item x="89"/>
        <item x="205"/>
        <item x="70"/>
        <item x="279"/>
        <item x="91"/>
        <item x="21"/>
        <item x="173"/>
        <item x="174"/>
        <item x="53"/>
        <item x="282"/>
        <item x="93"/>
        <item x="52"/>
        <item x="245"/>
        <item x="54"/>
        <item x="261"/>
        <item x="3"/>
        <item x="249"/>
        <item x="178"/>
        <item x="179"/>
        <item x="104"/>
        <item x="97"/>
        <item x="36"/>
        <item x="58"/>
        <item x="75"/>
        <item x="258"/>
        <item x="148"/>
        <item x="106"/>
        <item x="286"/>
        <item x="134"/>
        <item x="169"/>
        <item x="83"/>
        <item x="61"/>
        <item x="210"/>
        <item x="119"/>
        <item x="23"/>
        <item x="175"/>
        <item x="46"/>
        <item x="76"/>
        <item x="280"/>
        <item x="6"/>
        <item x="86"/>
        <item x="71"/>
        <item x="215"/>
        <item x="172"/>
        <item x="203"/>
        <item x="159"/>
        <item x="110"/>
        <item x="233"/>
        <item x="154"/>
        <item x="138"/>
        <item x="276"/>
        <item x="103"/>
        <item x="84"/>
        <item x="101"/>
        <item x="177"/>
        <item x="241"/>
        <item x="260"/>
        <item x="109"/>
        <item x="88"/>
        <item x="206"/>
        <item x="264"/>
        <item x="269"/>
        <item x="12"/>
        <item x="171"/>
        <item x="48"/>
        <item x="77"/>
        <item x="146"/>
        <item x="198"/>
        <item x="246"/>
        <item x="255"/>
        <item x="283"/>
        <item x="196"/>
        <item x="247"/>
        <item x="19"/>
        <item x="211"/>
        <item x="47"/>
        <item x="40"/>
        <item x="273"/>
        <item x="34"/>
        <item x="42"/>
        <item x="242"/>
        <item x="270"/>
        <item x="2"/>
        <item x="43"/>
        <item x="304"/>
        <item x="108"/>
        <item x="39"/>
        <item x="142"/>
        <item x="56"/>
        <item x="121"/>
        <item x="182"/>
        <item x="31"/>
        <item x="135"/>
        <item x="166"/>
        <item x="250"/>
        <item x="22"/>
        <item x="289"/>
        <item x="20"/>
        <item x="130"/>
        <item x="224"/>
        <item x="297"/>
        <item x="35"/>
        <item x="165"/>
        <item x="227"/>
        <item x="96"/>
        <item x="87"/>
        <item x="153"/>
        <item x="17"/>
        <item x="217"/>
        <item x="30"/>
        <item x="137"/>
        <item x="191"/>
        <item x="133"/>
        <item x="244"/>
        <item x="69"/>
        <item x="123"/>
        <item x="158"/>
        <item x="229"/>
        <item x="139"/>
        <item x="163"/>
        <item x="147"/>
        <item x="15"/>
        <item x="143"/>
        <item x="230"/>
        <item x="202"/>
        <item x="116"/>
        <item x="216"/>
        <item x="302"/>
        <item x="81"/>
        <item x="55"/>
        <item x="122"/>
        <item x="162"/>
        <item x="27"/>
        <item x="120"/>
        <item x="285"/>
        <item x="252"/>
        <item x="207"/>
        <item x="237"/>
        <item x="156"/>
        <item x="140"/>
        <item x="257"/>
        <item x="59"/>
        <item x="243"/>
        <item x="107"/>
        <item x="145"/>
        <item x="226"/>
        <item x="190"/>
        <item x="259"/>
        <item x="41"/>
        <item x="128"/>
        <item x="157"/>
        <item x="141"/>
        <item x="38"/>
        <item x="292"/>
        <item x="300"/>
        <item x="25"/>
        <item x="8"/>
        <item x="287"/>
        <item x="95"/>
        <item x="220"/>
        <item x="161"/>
        <item x="262"/>
        <item x="176"/>
        <item x="238"/>
        <item x="126"/>
        <item x="57"/>
        <item x="44"/>
        <item x="213"/>
        <item x="181"/>
        <item x="253"/>
        <item x="284"/>
        <item x="102"/>
        <item x="79"/>
        <item x="112"/>
        <item x="73"/>
        <item x="113"/>
        <item x="5"/>
        <item x="45"/>
        <item x="294"/>
        <item x="144"/>
        <item x="298"/>
        <item x="111"/>
        <item x="117"/>
        <item x="248"/>
        <item x="98"/>
        <item x="7"/>
        <item x="129"/>
        <item x="18"/>
        <item x="60"/>
        <item x="251"/>
        <item x="105"/>
        <item x="267"/>
        <item x="26"/>
        <item x="303"/>
        <item x="82"/>
        <item x="192"/>
        <item x="151"/>
        <item x="254"/>
        <item x="236"/>
        <item x="218"/>
        <item x="271"/>
        <item x="184"/>
        <item x="307"/>
        <item x="186"/>
        <item x="201"/>
        <item x="272"/>
        <item x="28"/>
        <item x="296"/>
        <item x="193"/>
        <item t="default"/>
      </items>
    </pivotField>
    <pivotField showAll="0"/>
    <pivotField showAll="0"/>
    <pivotField showAll="0"/>
    <pivotField axis="axisRow" showAll="0">
      <items count="6">
        <item x="1"/>
        <item x="3"/>
        <item x="2"/>
        <item x="4"/>
        <item x="0"/>
        <item t="default"/>
      </items>
    </pivotField>
    <pivotField showAll="0"/>
    <pivotField showAll="0"/>
    <pivotField showAll="0">
      <items count="13">
        <item x="4"/>
        <item x="2"/>
        <item x="1"/>
        <item x="8"/>
        <item x="5"/>
        <item x="10"/>
        <item x="11"/>
        <item x="7"/>
        <item x="0"/>
        <item x="3"/>
        <item x="9"/>
        <item x="6"/>
        <item t="default"/>
      </items>
    </pivotField>
    <pivotField showAll="0"/>
    <pivotField showAll="0"/>
    <pivotField numFmtId="164" showAll="0"/>
    <pivotField showAll="0"/>
    <pivotField showAll="0"/>
    <pivotField showAll="0"/>
    <pivotField showAll="0"/>
    <pivotField numFmtId="164" showAll="0"/>
    <pivotField dataField="1" showAll="0">
      <items count="407">
        <item x="25"/>
        <item x="128"/>
        <item x="218"/>
        <item x="153"/>
        <item x="252"/>
        <item x="34"/>
        <item x="318"/>
        <item x="309"/>
        <item x="121"/>
        <item x="231"/>
        <item x="177"/>
        <item x="12"/>
        <item x="0"/>
        <item x="83"/>
        <item x="248"/>
        <item x="99"/>
        <item x="322"/>
        <item x="404"/>
        <item x="145"/>
        <item x="383"/>
        <item x="196"/>
        <item x="203"/>
        <item x="326"/>
        <item x="172"/>
        <item x="156"/>
        <item x="319"/>
        <item x="37"/>
        <item x="179"/>
        <item x="138"/>
        <item x="200"/>
        <item x="380"/>
        <item x="216"/>
        <item x="23"/>
        <item x="47"/>
        <item x="26"/>
        <item x="364"/>
        <item x="276"/>
        <item x="285"/>
        <item x="300"/>
        <item x="88"/>
        <item x="313"/>
        <item x="43"/>
        <item x="365"/>
        <item x="301"/>
        <item x="362"/>
        <item x="167"/>
        <item x="388"/>
        <item x="118"/>
        <item x="401"/>
        <item x="126"/>
        <item x="159"/>
        <item x="87"/>
        <item x="221"/>
        <item x="107"/>
        <item x="367"/>
        <item x="135"/>
        <item x="30"/>
        <item x="267"/>
        <item x="294"/>
        <item x="280"/>
        <item x="67"/>
        <item x="373"/>
        <item x="75"/>
        <item x="256"/>
        <item x="254"/>
        <item x="292"/>
        <item x="393"/>
        <item x="2"/>
        <item x="157"/>
        <item x="124"/>
        <item x="374"/>
        <item x="144"/>
        <item x="341"/>
        <item x="348"/>
        <item x="358"/>
        <item x="332"/>
        <item x="355"/>
        <item x="394"/>
        <item x="40"/>
        <item x="317"/>
        <item x="59"/>
        <item x="402"/>
        <item x="134"/>
        <item x="71"/>
        <item x="269"/>
        <item x="77"/>
        <item x="150"/>
        <item x="143"/>
        <item x="53"/>
        <item x="6"/>
        <item x="86"/>
        <item x="244"/>
        <item x="176"/>
        <item x="85"/>
        <item x="163"/>
        <item x="334"/>
        <item x="275"/>
        <item x="205"/>
        <item x="206"/>
        <item x="354"/>
        <item x="214"/>
        <item x="215"/>
        <item x="116"/>
        <item x="89"/>
        <item x="208"/>
        <item x="235"/>
        <item x="346"/>
        <item x="129"/>
        <item x="243"/>
        <item x="101"/>
        <item x="14"/>
        <item x="16"/>
        <item x="189"/>
        <item x="193"/>
        <item x="152"/>
        <item x="397"/>
        <item x="297"/>
        <item x="298"/>
        <item x="81"/>
        <item x="263"/>
        <item x="127"/>
        <item x="54"/>
        <item x="169"/>
        <item x="245"/>
        <item x="259"/>
        <item x="224"/>
        <item x="36"/>
        <item x="323"/>
        <item x="381"/>
        <item x="253"/>
        <item x="338"/>
        <item x="251"/>
        <item x="158"/>
        <item x="237"/>
        <item x="102"/>
        <item x="132"/>
        <item x="68"/>
        <item x="155"/>
        <item x="11"/>
        <item x="283"/>
        <item x="194"/>
        <item x="392"/>
        <item x="185"/>
        <item x="371"/>
        <item x="314"/>
        <item x="80"/>
        <item x="302"/>
        <item x="238"/>
        <item x="352"/>
        <item x="287"/>
        <item x="8"/>
        <item x="4"/>
        <item x="202"/>
        <item x="61"/>
        <item x="250"/>
        <item x="227"/>
        <item x="69"/>
        <item x="119"/>
        <item x="225"/>
        <item x="344"/>
        <item x="273"/>
        <item x="168"/>
        <item x="234"/>
        <item x="20"/>
        <item x="282"/>
        <item x="278"/>
        <item x="149"/>
        <item x="307"/>
        <item x="339"/>
        <item x="217"/>
        <item x="94"/>
        <item x="125"/>
        <item x="400"/>
        <item x="329"/>
        <item x="328"/>
        <item x="389"/>
        <item x="66"/>
        <item x="29"/>
        <item x="240"/>
        <item x="201"/>
        <item x="122"/>
        <item x="266"/>
        <item x="191"/>
        <item x="44"/>
        <item x="260"/>
        <item x="212"/>
        <item x="49"/>
        <item x="361"/>
        <item x="175"/>
        <item x="226"/>
        <item x="246"/>
        <item x="74"/>
        <item x="140"/>
        <item x="342"/>
        <item x="331"/>
        <item x="268"/>
        <item x="299"/>
        <item x="325"/>
        <item x="356"/>
        <item x="228"/>
        <item x="105"/>
        <item x="369"/>
        <item x="137"/>
        <item x="130"/>
        <item x="213"/>
        <item x="210"/>
        <item x="242"/>
        <item x="141"/>
        <item x="151"/>
        <item x="173"/>
        <item x="291"/>
        <item x="375"/>
        <item x="233"/>
        <item x="113"/>
        <item x="112"/>
        <item x="165"/>
        <item x="18"/>
        <item x="272"/>
        <item x="390"/>
        <item x="73"/>
        <item x="70"/>
        <item x="161"/>
        <item x="91"/>
        <item x="104"/>
        <item x="146"/>
        <item x="209"/>
        <item x="1"/>
        <item x="197"/>
        <item x="271"/>
        <item x="395"/>
        <item x="204"/>
        <item x="368"/>
        <item x="147"/>
        <item x="330"/>
        <item x="232"/>
        <item x="96"/>
        <item x="229"/>
        <item x="315"/>
        <item x="148"/>
        <item x="184"/>
        <item x="279"/>
        <item x="223"/>
        <item x="289"/>
        <item x="117"/>
        <item x="131"/>
        <item x="207"/>
        <item x="239"/>
        <item x="48"/>
        <item x="56"/>
        <item x="21"/>
        <item x="311"/>
        <item x="306"/>
        <item x="39"/>
        <item x="195"/>
        <item x="115"/>
        <item x="35"/>
        <item x="274"/>
        <item x="398"/>
        <item x="58"/>
        <item x="290"/>
        <item x="103"/>
        <item x="154"/>
        <item x="72"/>
        <item x="139"/>
        <item x="236"/>
        <item x="171"/>
        <item x="133"/>
        <item x="63"/>
        <item x="123"/>
        <item x="108"/>
        <item x="363"/>
        <item x="337"/>
        <item x="220"/>
        <item x="79"/>
        <item x="333"/>
        <item x="92"/>
        <item x="46"/>
        <item x="10"/>
        <item x="340"/>
        <item x="396"/>
        <item x="247"/>
        <item x="336"/>
        <item x="78"/>
        <item x="178"/>
        <item x="316"/>
        <item x="100"/>
        <item x="312"/>
        <item x="7"/>
        <item x="211"/>
        <item x="386"/>
        <item x="284"/>
        <item x="17"/>
        <item x="308"/>
        <item x="186"/>
        <item x="180"/>
        <item x="120"/>
        <item x="357"/>
        <item x="174"/>
        <item x="384"/>
        <item x="28"/>
        <item x="41"/>
        <item x="258"/>
        <item x="257"/>
        <item x="403"/>
        <item x="304"/>
        <item x="295"/>
        <item x="3"/>
        <item x="13"/>
        <item x="305"/>
        <item x="370"/>
        <item x="385"/>
        <item x="198"/>
        <item x="97"/>
        <item x="98"/>
        <item x="50"/>
        <item x="262"/>
        <item x="190"/>
        <item x="31"/>
        <item x="164"/>
        <item x="320"/>
        <item x="84"/>
        <item x="376"/>
        <item x="350"/>
        <item x="293"/>
        <item x="60"/>
        <item x="19"/>
        <item x="9"/>
        <item x="166"/>
        <item x="51"/>
        <item x="199"/>
        <item x="349"/>
        <item x="76"/>
        <item x="42"/>
        <item x="52"/>
        <item x="24"/>
        <item x="110"/>
        <item x="38"/>
        <item x="366"/>
        <item x="310"/>
        <item x="65"/>
        <item x="399"/>
        <item x="142"/>
        <item x="303"/>
        <item x="109"/>
        <item x="405"/>
        <item x="181"/>
        <item x="136"/>
        <item x="281"/>
        <item x="187"/>
        <item x="288"/>
        <item x="62"/>
        <item x="296"/>
        <item x="114"/>
        <item x="90"/>
        <item x="111"/>
        <item x="360"/>
        <item x="183"/>
        <item x="222"/>
        <item x="270"/>
        <item x="359"/>
        <item x="265"/>
        <item x="327"/>
        <item x="347"/>
        <item x="162"/>
        <item x="255"/>
        <item x="15"/>
        <item x="45"/>
        <item x="188"/>
        <item x="33"/>
        <item x="353"/>
        <item x="160"/>
        <item x="286"/>
        <item x="106"/>
        <item x="219"/>
        <item x="324"/>
        <item x="345"/>
        <item x="27"/>
        <item x="391"/>
        <item x="249"/>
        <item x="95"/>
        <item x="82"/>
        <item x="264"/>
        <item x="64"/>
        <item x="5"/>
        <item x="377"/>
        <item x="57"/>
        <item x="343"/>
        <item x="351"/>
        <item x="170"/>
        <item x="192"/>
        <item x="230"/>
        <item x="321"/>
        <item x="372"/>
        <item x="32"/>
        <item x="55"/>
        <item x="335"/>
        <item x="387"/>
        <item x="382"/>
        <item x="379"/>
        <item x="241"/>
        <item x="93"/>
        <item x="378"/>
        <item x="261"/>
        <item x="182"/>
        <item x="277"/>
        <item x="22"/>
        <item t="default"/>
      </items>
    </pivotField>
    <pivotField numFmtId="164"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x="3"/>
        <item x="4"/>
        <item x="5"/>
        <item x="6"/>
        <item x="7"/>
        <item x="8"/>
        <item x="9"/>
        <item x="10"/>
        <item x="11"/>
        <item x="12"/>
        <item h="1" x="13"/>
        <item t="default"/>
      </items>
    </pivotField>
  </pivotFields>
  <rowFields count="1">
    <field x="5"/>
  </rowFields>
  <rowItems count="6">
    <i>
      <x/>
    </i>
    <i>
      <x v="1"/>
    </i>
    <i>
      <x v="2"/>
    </i>
    <i>
      <x v="3"/>
    </i>
    <i>
      <x v="4"/>
    </i>
    <i t="grand">
      <x/>
    </i>
  </rowItems>
  <colItems count="1">
    <i/>
  </colItems>
  <dataFields count="1">
    <dataField name="Sum of NetRevenue" fld="17" baseField="0" baseItem="0"/>
  </dataFields>
  <chartFormats count="12">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4" format="10">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3"/>
          </reference>
        </references>
      </pivotArea>
    </chartFormat>
    <chartFormat chart="4" format="12">
      <pivotArea type="data" outline="0" fieldPosition="0">
        <references count="2">
          <reference field="4294967294" count="1" selected="0">
            <x v="0"/>
          </reference>
          <reference field="5"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0"/>
          </reference>
        </references>
      </pivotArea>
    </chartFormat>
    <chartFormat chart="7" format="14">
      <pivotArea type="data" outline="0" fieldPosition="0">
        <references count="2">
          <reference field="4294967294" count="1" selected="0">
            <x v="0"/>
          </reference>
          <reference field="5" count="1" selected="0">
            <x v="1"/>
          </reference>
        </references>
      </pivotArea>
    </chartFormat>
    <chartFormat chart="7" format="15">
      <pivotArea type="data" outline="0" fieldPosition="0">
        <references count="2">
          <reference field="4294967294" count="1" selected="0">
            <x v="0"/>
          </reference>
          <reference field="5" count="1" selected="0">
            <x v="2"/>
          </reference>
        </references>
      </pivotArea>
    </chartFormat>
    <chartFormat chart="7" format="16">
      <pivotArea type="data" outline="0" fieldPosition="0">
        <references count="2">
          <reference field="4294967294" count="1" selected="0">
            <x v="0"/>
          </reference>
          <reference field="5" count="1" selected="0">
            <x v="3"/>
          </reference>
        </references>
      </pivotArea>
    </chartFormat>
    <chartFormat chart="7"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792E44-66C2-49A8-8E11-C26467542456}" sourceName="Region">
  <pivotTables>
    <pivotTable tabId="14" name="PivotTable3"/>
    <pivotTable tabId="14" name="PivotTable4"/>
    <pivotTable tabId="14" name="PivotTable5"/>
  </pivotTables>
  <data>
    <tabular pivotCacheId="459950458">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BA9C0C1-A29C-4010-959C-BFDAAE7D25CE}" sourceName="Product">
  <pivotTables>
    <pivotTable tabId="14" name="PivotTable3"/>
    <pivotTable tabId="14" name="PivotTable4"/>
    <pivotTable tabId="14" name="PivotTable5"/>
  </pivotTables>
  <data>
    <tabular pivotCacheId="459950458">
      <items count="12">
        <i x="4" s="1"/>
        <i x="2" s="1"/>
        <i x="1" s="1"/>
        <i x="8" s="1"/>
        <i x="5" s="1"/>
        <i x="10" s="1"/>
        <i x="11" s="1"/>
        <i x="7" s="1"/>
        <i x="0" s="1"/>
        <i x="3" s="1"/>
        <i x="9"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Revenue" xr10:uid="{B1CD8295-F125-4146-88F4-9857EE0C1109}" sourceName="NetRevenue">
  <pivotTables>
    <pivotTable tabId="14" name="PivotTable3"/>
    <pivotTable tabId="14" name="PivotTable4"/>
    <pivotTable tabId="14" name="PivotTable5"/>
  </pivotTables>
  <data>
    <tabular pivotCacheId="459950458">
      <items count="406">
        <i x="25" s="1"/>
        <i x="128" s="1"/>
        <i x="218" s="1"/>
        <i x="153" s="1"/>
        <i x="252" s="1"/>
        <i x="34" s="1"/>
        <i x="309" s="1"/>
        <i x="121" s="1"/>
        <i x="231" s="1"/>
        <i x="177" s="1"/>
        <i x="12" s="1"/>
        <i x="0" s="1"/>
        <i x="83" s="1"/>
        <i x="248" s="1"/>
        <i x="99" s="1"/>
        <i x="322" s="1"/>
        <i x="404" s="1"/>
        <i x="145" s="1"/>
        <i x="383" s="1"/>
        <i x="196" s="1"/>
        <i x="203" s="1"/>
        <i x="326" s="1"/>
        <i x="172" s="1"/>
        <i x="156" s="1"/>
        <i x="319" s="1"/>
        <i x="37" s="1"/>
        <i x="179" s="1"/>
        <i x="138" s="1"/>
        <i x="200" s="1"/>
        <i x="380" s="1"/>
        <i x="216" s="1"/>
        <i x="23" s="1"/>
        <i x="47" s="1"/>
        <i x="26" s="1"/>
        <i x="364" s="1"/>
        <i x="276" s="1"/>
        <i x="285" s="1"/>
        <i x="300" s="1"/>
        <i x="88" s="1"/>
        <i x="313" s="1"/>
        <i x="43" s="1"/>
        <i x="365" s="1"/>
        <i x="301" s="1"/>
        <i x="362" s="1"/>
        <i x="167" s="1"/>
        <i x="388" s="1"/>
        <i x="118" s="1"/>
        <i x="401" s="1"/>
        <i x="126" s="1"/>
        <i x="159" s="1"/>
        <i x="87" s="1"/>
        <i x="221" s="1"/>
        <i x="107" s="1"/>
        <i x="367" s="1"/>
        <i x="135" s="1"/>
        <i x="30" s="1"/>
        <i x="267" s="1"/>
        <i x="294" s="1"/>
        <i x="280" s="1"/>
        <i x="373" s="1"/>
        <i x="75" s="1"/>
        <i x="256" s="1"/>
        <i x="254" s="1"/>
        <i x="292" s="1"/>
        <i x="393" s="1"/>
        <i x="2" s="1"/>
        <i x="157" s="1"/>
        <i x="124" s="1"/>
        <i x="374" s="1"/>
        <i x="144" s="1"/>
        <i x="341" s="1"/>
        <i x="358" s="1"/>
        <i x="332" s="1"/>
        <i x="355" s="1"/>
        <i x="394" s="1"/>
        <i x="40" s="1"/>
        <i x="317" s="1"/>
        <i x="59" s="1"/>
        <i x="402" s="1"/>
        <i x="71" s="1"/>
        <i x="269" s="1"/>
        <i x="77" s="1"/>
        <i x="150" s="1"/>
        <i x="143" s="1"/>
        <i x="53" s="1"/>
        <i x="6" s="1"/>
        <i x="86" s="1"/>
        <i x="244" s="1"/>
        <i x="176" s="1"/>
        <i x="85" s="1"/>
        <i x="163" s="1"/>
        <i x="334" s="1"/>
        <i x="275" s="1"/>
        <i x="205" s="1"/>
        <i x="206" s="1"/>
        <i x="354" s="1"/>
        <i x="214" s="1"/>
        <i x="116" s="1"/>
        <i x="208" s="1"/>
        <i x="346" s="1"/>
        <i x="129" s="1"/>
        <i x="243" s="1"/>
        <i x="101" s="1"/>
        <i x="14" s="1"/>
        <i x="16" s="1"/>
        <i x="189" s="1"/>
        <i x="193" s="1"/>
        <i x="152" s="1"/>
        <i x="397" s="1"/>
        <i x="297" s="1"/>
        <i x="81" s="1"/>
        <i x="263" s="1"/>
        <i x="127" s="1"/>
        <i x="54" s="1"/>
        <i x="169" s="1"/>
        <i x="245" s="1"/>
        <i x="224" s="1"/>
        <i x="36" s="1"/>
        <i x="323" s="1"/>
        <i x="381" s="1"/>
        <i x="253" s="1"/>
        <i x="338" s="1"/>
        <i x="251" s="1"/>
        <i x="158" s="1"/>
        <i x="237" s="1"/>
        <i x="102" s="1"/>
        <i x="132" s="1"/>
        <i x="68" s="1"/>
        <i x="155" s="1"/>
        <i x="11" s="1"/>
        <i x="283" s="1"/>
        <i x="194" s="1"/>
        <i x="392" s="1"/>
        <i x="185" s="1"/>
        <i x="371" s="1"/>
        <i x="314" s="1"/>
        <i x="80" s="1"/>
        <i x="302" s="1"/>
        <i x="238" s="1"/>
        <i x="287" s="1"/>
        <i x="8" s="1"/>
        <i x="4" s="1"/>
        <i x="202" s="1"/>
        <i x="61" s="1"/>
        <i x="250" s="1"/>
        <i x="227" s="1"/>
        <i x="69" s="1"/>
        <i x="119" s="1"/>
        <i x="225" s="1"/>
        <i x="344" s="1"/>
        <i x="273" s="1"/>
        <i x="168" s="1"/>
        <i x="234" s="1"/>
        <i x="20" s="1"/>
        <i x="282" s="1"/>
        <i x="278" s="1"/>
        <i x="149" s="1"/>
        <i x="307" s="1"/>
        <i x="339" s="1"/>
        <i x="217" s="1"/>
        <i x="94" s="1"/>
        <i x="125" s="1"/>
        <i x="329" s="1"/>
        <i x="328" s="1"/>
        <i x="389" s="1"/>
        <i x="66" s="1"/>
        <i x="29" s="1"/>
        <i x="240" s="1"/>
        <i x="201" s="1"/>
        <i x="122" s="1"/>
        <i x="266" s="1"/>
        <i x="191" s="1"/>
        <i x="44" s="1"/>
        <i x="260" s="1"/>
        <i x="212" s="1"/>
        <i x="49" s="1"/>
        <i x="361" s="1"/>
        <i x="175" s="1"/>
        <i x="226" s="1"/>
        <i x="246" s="1"/>
        <i x="74" s="1"/>
        <i x="140" s="1"/>
        <i x="342" s="1"/>
        <i x="331" s="1"/>
        <i x="268" s="1"/>
        <i x="299" s="1"/>
        <i x="325" s="1"/>
        <i x="356" s="1"/>
        <i x="228" s="1"/>
        <i x="105" s="1"/>
        <i x="369" s="1"/>
        <i x="137" s="1"/>
        <i x="130" s="1"/>
        <i x="213" s="1"/>
        <i x="210" s="1"/>
        <i x="242" s="1"/>
        <i x="141" s="1"/>
        <i x="151" s="1"/>
        <i x="173" s="1"/>
        <i x="291" s="1"/>
        <i x="375" s="1"/>
        <i x="233" s="1"/>
        <i x="113" s="1"/>
        <i x="112" s="1"/>
        <i x="165" s="1"/>
        <i x="18" s="1"/>
        <i x="272" s="1"/>
        <i x="390" s="1"/>
        <i x="73" s="1"/>
        <i x="70" s="1"/>
        <i x="161" s="1"/>
        <i x="91" s="1"/>
        <i x="104" s="1"/>
        <i x="146" s="1"/>
        <i x="209" s="1"/>
        <i x="1" s="1"/>
        <i x="271" s="1"/>
        <i x="204" s="1"/>
        <i x="368" s="1"/>
        <i x="147" s="1"/>
        <i x="330" s="1"/>
        <i x="232" s="1"/>
        <i x="96" s="1"/>
        <i x="229" s="1"/>
        <i x="315" s="1"/>
        <i x="148" s="1"/>
        <i x="184" s="1"/>
        <i x="279" s="1"/>
        <i x="223" s="1"/>
        <i x="289" s="1"/>
        <i x="117" s="1"/>
        <i x="207" s="1"/>
        <i x="239" s="1"/>
        <i x="48" s="1"/>
        <i x="56" s="1"/>
        <i x="21" s="1"/>
        <i x="311" s="1"/>
        <i x="306" s="1"/>
        <i x="39" s="1"/>
        <i x="115" s="1"/>
        <i x="35" s="1"/>
        <i x="398" s="1"/>
        <i x="58" s="1"/>
        <i x="290" s="1"/>
        <i x="103" s="1"/>
        <i x="154" s="1"/>
        <i x="72" s="1"/>
        <i x="139" s="1"/>
        <i x="236" s="1"/>
        <i x="171" s="1"/>
        <i x="133" s="1"/>
        <i x="63" s="1"/>
        <i x="123" s="1"/>
        <i x="108" s="1"/>
        <i x="363" s="1"/>
        <i x="337" s="1"/>
        <i x="220" s="1"/>
        <i x="79" s="1"/>
        <i x="333" s="1"/>
        <i x="92" s="1"/>
        <i x="46" s="1"/>
        <i x="10" s="1"/>
        <i x="340" s="1"/>
        <i x="396" s="1"/>
        <i x="247" s="1"/>
        <i x="336" s="1"/>
        <i x="78" s="1"/>
        <i x="178" s="1"/>
        <i x="316" s="1"/>
        <i x="100" s="1"/>
        <i x="312" s="1"/>
        <i x="7" s="1"/>
        <i x="211" s="1"/>
        <i x="386" s="1"/>
        <i x="284" s="1"/>
        <i x="308" s="1"/>
        <i x="186" s="1"/>
        <i x="180" s="1"/>
        <i x="120" s="1"/>
        <i x="357" s="1"/>
        <i x="174" s="1"/>
        <i x="384" s="1"/>
        <i x="28" s="1"/>
        <i x="41" s="1"/>
        <i x="258" s="1"/>
        <i x="257" s="1"/>
        <i x="403" s="1"/>
        <i x="304" s="1"/>
        <i x="295" s="1"/>
        <i x="3" s="1"/>
        <i x="13" s="1"/>
        <i x="305" s="1"/>
        <i x="370" s="1"/>
        <i x="385" s="1"/>
        <i x="97" s="1"/>
        <i x="98" s="1"/>
        <i x="50" s="1"/>
        <i x="262" s="1"/>
        <i x="190" s="1"/>
        <i x="31" s="1"/>
        <i x="164" s="1"/>
        <i x="320" s="1"/>
        <i x="84" s="1"/>
        <i x="376" s="1"/>
        <i x="350" s="1"/>
        <i x="293" s="1"/>
        <i x="60" s="1"/>
        <i x="19" s="1"/>
        <i x="9" s="1"/>
        <i x="166" s="1"/>
        <i x="51" s="1"/>
        <i x="199" s="1"/>
        <i x="349" s="1"/>
        <i x="76" s="1"/>
        <i x="42" s="1"/>
        <i x="52" s="1"/>
        <i x="24" s="1"/>
        <i x="110" s="1"/>
        <i x="38" s="1"/>
        <i x="366" s="1"/>
        <i x="310" s="1"/>
        <i x="65" s="1"/>
        <i x="399" s="1"/>
        <i x="142" s="1"/>
        <i x="303" s="1"/>
        <i x="109" s="1"/>
        <i x="405" s="1"/>
        <i x="181" s="1"/>
        <i x="136" s="1"/>
        <i x="187" s="1"/>
        <i x="288" s="1"/>
        <i x="62" s="1"/>
        <i x="296" s="1"/>
        <i x="114" s="1"/>
        <i x="90" s="1"/>
        <i x="111" s="1"/>
        <i x="360" s="1"/>
        <i x="183" s="1"/>
        <i x="222" s="1"/>
        <i x="270" s="1"/>
        <i x="359" s="1"/>
        <i x="265" s="1"/>
        <i x="347" s="1"/>
        <i x="162" s="1"/>
        <i x="255" s="1"/>
        <i x="15" s="1"/>
        <i x="45" s="1"/>
        <i x="188" s="1"/>
        <i x="33" s="1"/>
        <i x="353" s="1"/>
        <i x="160" s="1"/>
        <i x="286" s="1"/>
        <i x="106" s="1"/>
        <i x="219" s="1"/>
        <i x="324" s="1"/>
        <i x="345" s="1"/>
        <i x="27" s="1"/>
        <i x="391" s="1"/>
        <i x="249" s="1"/>
        <i x="95" s="1"/>
        <i x="264" s="1"/>
        <i x="5" s="1"/>
        <i x="377" s="1"/>
        <i x="57" s="1"/>
        <i x="343" s="1"/>
        <i x="351" s="1"/>
        <i x="170" s="1"/>
        <i x="192" s="1"/>
        <i x="230" s="1"/>
        <i x="321" s="1"/>
        <i x="372" s="1"/>
        <i x="32" s="1"/>
        <i x="55" s="1"/>
        <i x="335" s="1"/>
        <i x="387" s="1"/>
        <i x="382" s="1"/>
        <i x="379" s="1"/>
        <i x="93" s="1"/>
        <i x="378" s="1"/>
        <i x="261" s="1"/>
        <i x="182" s="1"/>
        <i x="277" s="1"/>
        <i x="22" s="1"/>
        <i x="318" s="1" nd="1"/>
        <i x="67" s="1" nd="1"/>
        <i x="348" s="1" nd="1"/>
        <i x="134" s="1" nd="1"/>
        <i x="215" s="1" nd="1"/>
        <i x="89" s="1" nd="1"/>
        <i x="235" s="1" nd="1"/>
        <i x="298" s="1" nd="1"/>
        <i x="259" s="1" nd="1"/>
        <i x="352" s="1" nd="1"/>
        <i x="400" s="1" nd="1"/>
        <i x="197" s="1" nd="1"/>
        <i x="395" s="1" nd="1"/>
        <i x="131" s="1" nd="1"/>
        <i x="195" s="1" nd="1"/>
        <i x="274" s="1" nd="1"/>
        <i x="17" s="1" nd="1"/>
        <i x="198" s="1" nd="1"/>
        <i x="281" s="1" nd="1"/>
        <i x="327" s="1" nd="1"/>
        <i x="82" s="1" nd="1"/>
        <i x="64" s="1" nd="1"/>
        <i x="24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2" xr10:uid="{A4CB829D-61C7-4AB9-9BB9-6DC4B8B7AE6A}" sourceName="Months (OrderDate2)">
  <pivotTables>
    <pivotTable tabId="14" name="PivotTable5"/>
    <pivotTable tabId="14" name="PivotTable4"/>
    <pivotTable tabId="14" name="PivotTable3"/>
  </pivotTables>
  <data>
    <tabular pivotCacheId="459950458">
      <items count="14">
        <i x="1" s="1"/>
        <i x="2"/>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EBE0D66-35C3-477D-9562-B965862171C5}" cache="Slicer_Region" caption="Region" rowHeight="241300"/>
  <slicer name="Product" xr10:uid="{5FC8A107-01A4-4335-8575-5C6DAE5AE130}" cache="Slicer_Product" caption="Product" startItem="4" rowHeight="241300"/>
  <slicer name="NetRevenue" xr10:uid="{B02B63E7-AB4B-49D1-AB32-4A166D5A5DF6}" cache="Slicer_NetRevenue" caption="NetRevenue" rowHeight="241300"/>
  <slicer name="Months (OrderDate2)" xr10:uid="{CA782EC9-6972-482C-850F-E8F07DBE7ECF}" cache="Slicer_Months__OrderDate2" caption="Months (OrderDate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E49E90-0188-4C40-BFA6-2360EADB6EA7}" name="Table13" displayName="Table13" ref="A1:U601" totalsRowShown="0" headerRowDxfId="16" headerRowBorderDxfId="15" tableBorderDxfId="14">
  <autoFilter ref="A1:U601" xr:uid="{5CE49E90-0188-4C40-BFA6-2360EADB6EA7}"/>
  <tableColumns count="21">
    <tableColumn id="1" xr3:uid="{6ED61A0D-88AA-4D2B-8A3C-55287C8AC440}" name="OrderID"/>
    <tableColumn id="22" xr3:uid="{DBD01757-1B51-4D0A-87E5-A6857E5E9F66}" name="OrderDate2" dataDxfId="0"/>
    <tableColumn id="3" xr3:uid="{E668BDF3-3C11-4F90-9402-C63C3CF9B550}" name="CustomerType"/>
    <tableColumn id="4" xr3:uid="{B4D214C0-0D2F-42F2-A5B2-7F11E5417A94}" name="State"/>
    <tableColumn id="5" xr3:uid="{B5EE94FC-4DA8-44EA-9ACE-A7ED97AFE203}" name="City"/>
    <tableColumn id="6" xr3:uid="{D3CA8E5E-1BB1-49D8-8FD6-3CDB78426F9B}" name="Region"/>
    <tableColumn id="7" xr3:uid="{C9B92642-B4DA-4E73-B0D9-A1A3B7B267E5}" name="SalesChannel"/>
    <tableColumn id="8" xr3:uid="{A43F3583-188E-442E-A0FC-B754EC88CB1F}" name="PaymentMethod"/>
    <tableColumn id="9" xr3:uid="{FCCD18DA-476C-431A-990B-31BD671DD7A2}" name="Product"/>
    <tableColumn id="10" xr3:uid="{13C0572D-4642-4D59-9406-607A33FC21F0}" name="Category"/>
    <tableColumn id="11" xr3:uid="{FC1CE33B-C3E1-428F-8201-2539D8448419}" name="Quantity"/>
    <tableColumn id="12" xr3:uid="{581924F4-D955-4BFB-BD14-90268DA91F18}" name="UnitPrice_NGN" dataDxfId="13" totalsRowDxfId="12"/>
    <tableColumn id="13" xr3:uid="{CCED9250-4E4E-4ABA-A542-7C23334F97C1}" name="UnitCost_NGN" dataDxfId="11" totalsRowDxfId="10"/>
    <tableColumn id="14" xr3:uid="{5D287E86-7B7C-43FB-94BE-A0E7434CC1FB}" name="DiscountRate"/>
    <tableColumn id="15" xr3:uid="{34EA45DF-2FF5-4406-B6F7-3E5B38A998C7}" name="SalesRep"/>
    <tableColumn id="16" xr3:uid="{6526E9CF-ACA6-45C2-AC33-64146725D364}" name="OrderStatus"/>
    <tableColumn id="18" xr3:uid="{08295281-D2D9-454C-8EA0-783494828725}" name="GrossRevenue" dataDxfId="9" totalsRowDxfId="8">
      <calculatedColumnFormula>Table13[[#This Row],[Quantity]]*Table13[[#This Row],[UnitPrice_NGN]]</calculatedColumnFormula>
    </tableColumn>
    <tableColumn id="19" xr3:uid="{F8A3041F-A9C7-42B8-BF2B-7D3A2E6F585E}" name="NetRevenue" dataDxfId="7">
      <calculatedColumnFormula>Table13[[#This Row],[GrossRevenue]]*(1-Table13[[#This Row],[DiscountRate]])</calculatedColumnFormula>
    </tableColumn>
    <tableColumn id="20" xr3:uid="{674635B0-86EF-416A-8BDA-0125E584B405}" name="TotalCost" dataDxfId="6" totalsRowDxfId="5">
      <calculatedColumnFormula>Table13[[#This Row],[Quantity]]*Table13[[#This Row],[UnitCost_NGN]]</calculatedColumnFormula>
    </tableColumn>
    <tableColumn id="21" xr3:uid="{F52B2FC1-7D4A-46C5-97CC-2EFDA9DB93E8}" name="Profit" dataDxfId="4" totalsRowDxfId="3">
      <calculatedColumnFormula>Table13[[#This Row],[NetRevenue]]-Table13[[#This Row],[TotalCost]]</calculatedColumnFormula>
    </tableColumn>
    <tableColumn id="17" xr3:uid="{A3218EAC-A08E-47F8-B432-7B84E5410D64}" name="Column1" dataDxf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49E1C-07A9-42E8-A447-11CF5C27FFB1}" name="Table1" displayName="Table1" ref="A1:P601" totalsRowShown="0" headerRowDxfId="19" headerRowBorderDxfId="18" tableBorderDxfId="17">
  <autoFilter ref="A1:P601" xr:uid="{00000000-0009-0000-0000-000000000000}"/>
  <tableColumns count="16">
    <tableColumn id="1" xr3:uid="{E50C0CAE-491F-408A-A17E-4A72F2BD0983}" name="OrderID"/>
    <tableColumn id="2" xr3:uid="{82143064-52E6-403D-B7C3-D904380B6B22}" name="OrderDate"/>
    <tableColumn id="3" xr3:uid="{18D2078E-C019-4D80-A038-CAFCCB4BCACF}" name="CustomerType"/>
    <tableColumn id="4" xr3:uid="{52A1E62B-B6CA-4F54-BE97-B6D973BEAFCD}" name="State"/>
    <tableColumn id="5" xr3:uid="{036D0D7C-768F-48D1-BBDF-94832A6FB3F4}" name="City"/>
    <tableColumn id="6" xr3:uid="{343961E8-05EC-4A9A-A6DC-3C327D05C157}" name="Region"/>
    <tableColumn id="7" xr3:uid="{BF812E7E-324F-43B0-BA42-70D1314CFD09}" name="SalesChannel"/>
    <tableColumn id="8" xr3:uid="{6E521577-1FD9-4F59-A826-C092C6C5CCBE}" name="PaymentMethod"/>
    <tableColumn id="9" xr3:uid="{C90A2A1D-FBE3-4EE0-A4DA-CE5715E36726}" name="Product"/>
    <tableColumn id="10" xr3:uid="{9D48FF05-21A6-40DA-9470-9FBC4878568E}" name="Category"/>
    <tableColumn id="11" xr3:uid="{82A905AE-2B9A-4FA1-B71F-B497C82ED986}" name="Quantity"/>
    <tableColumn id="12" xr3:uid="{F647CD46-C061-41E2-B8FF-60E518CB5BB2}" name="UnitPrice_NGN"/>
    <tableColumn id="13" xr3:uid="{401B4E3D-0042-4CC4-83E3-27B5A62062F9}" name="UnitCost_NGN"/>
    <tableColumn id="14" xr3:uid="{8B5ADF0D-3B99-457C-A1CB-5C190F0B610A}" name="DiscountRate"/>
    <tableColumn id="15" xr3:uid="{0C88A297-5FBC-4A4B-AEE4-B940AED06F1B}" name="SalesRep"/>
    <tableColumn id="16" xr3:uid="{114098C8-6AB8-4C09-B187-CD427A9645FF}" name="Order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2617-484C-41D8-AC71-889DE3AB48F1}">
  <dimension ref="B2:S4"/>
  <sheetViews>
    <sheetView topLeftCell="C20" zoomScale="98" zoomScaleNormal="98" workbookViewId="0">
      <selection activeCell="AA14" sqref="AA14"/>
    </sheetView>
  </sheetViews>
  <sheetFormatPr defaultRowHeight="15" x14ac:dyDescent="0.25"/>
  <cols>
    <col min="1" max="16384" width="9.140625" style="8"/>
  </cols>
  <sheetData>
    <row r="2" spans="2:19" x14ac:dyDescent="0.25">
      <c r="B2" s="22" t="s">
        <v>1004</v>
      </c>
      <c r="C2" s="18"/>
      <c r="D2" s="18"/>
      <c r="E2" s="18"/>
      <c r="F2" s="18"/>
      <c r="G2" s="18"/>
      <c r="H2" s="18"/>
      <c r="I2" s="18"/>
      <c r="J2" s="18"/>
      <c r="K2" s="18"/>
      <c r="L2" s="18"/>
      <c r="M2" s="18"/>
      <c r="N2" s="18"/>
      <c r="O2" s="18"/>
      <c r="P2" s="18"/>
      <c r="Q2" s="18"/>
      <c r="R2" s="18"/>
      <c r="S2" s="18"/>
    </row>
    <row r="3" spans="2:19" x14ac:dyDescent="0.25">
      <c r="B3" s="18"/>
      <c r="C3" s="18"/>
      <c r="D3" s="18"/>
      <c r="E3" s="18"/>
      <c r="F3" s="18"/>
      <c r="G3" s="18"/>
      <c r="H3" s="18"/>
      <c r="I3" s="18"/>
      <c r="J3" s="18"/>
      <c r="K3" s="18"/>
      <c r="L3" s="18"/>
      <c r="M3" s="18"/>
      <c r="N3" s="18"/>
      <c r="O3" s="18"/>
      <c r="P3" s="18"/>
      <c r="Q3" s="18"/>
      <c r="R3" s="18"/>
      <c r="S3" s="18"/>
    </row>
    <row r="4" spans="2:19" x14ac:dyDescent="0.25">
      <c r="B4" s="18"/>
      <c r="C4" s="18"/>
      <c r="D4" s="18"/>
      <c r="E4" s="18"/>
      <c r="F4" s="18"/>
      <c r="G4" s="18"/>
      <c r="H4" s="18"/>
      <c r="I4" s="18"/>
      <c r="J4" s="18"/>
      <c r="K4" s="18"/>
      <c r="L4" s="18"/>
      <c r="M4" s="18"/>
      <c r="N4" s="18"/>
      <c r="O4" s="18"/>
      <c r="P4" s="18"/>
      <c r="Q4" s="18"/>
      <c r="R4" s="18"/>
      <c r="S4" s="18"/>
    </row>
  </sheetData>
  <mergeCells count="1">
    <mergeCell ref="B2: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0C4F-27B2-4D2B-8605-D59842E65877}">
  <dimension ref="A1:B5"/>
  <sheetViews>
    <sheetView workbookViewId="0">
      <selection activeCell="E11" sqref="E11"/>
    </sheetView>
  </sheetViews>
  <sheetFormatPr defaultRowHeight="15" x14ac:dyDescent="0.25"/>
  <cols>
    <col min="1" max="1" width="22.5703125" bestFit="1" customWidth="1"/>
    <col min="2" max="2" width="21.7109375" bestFit="1" customWidth="1"/>
    <col min="3" max="3" width="14.140625" bestFit="1" customWidth="1"/>
    <col min="4" max="4" width="14.5703125" bestFit="1" customWidth="1"/>
    <col min="5" max="5" width="14.140625" bestFit="1" customWidth="1"/>
    <col min="6" max="6" width="13.140625" bestFit="1" customWidth="1"/>
  </cols>
  <sheetData>
    <row r="1" spans="1:2" ht="26.25" thickBot="1" x14ac:dyDescent="0.4">
      <c r="A1" s="16" t="s">
        <v>1005</v>
      </c>
      <c r="B1" s="16" t="s">
        <v>1006</v>
      </c>
    </row>
    <row r="2" spans="1:2" ht="22.5" thickTop="1" thickBot="1" x14ac:dyDescent="0.4">
      <c r="A2" s="13" t="s">
        <v>1007</v>
      </c>
      <c r="B2" s="13">
        <v>342470046.25</v>
      </c>
    </row>
    <row r="3" spans="1:2" ht="22.5" thickTop="1" thickBot="1" x14ac:dyDescent="0.4">
      <c r="A3" s="14" t="s">
        <v>1008</v>
      </c>
      <c r="B3" s="14">
        <v>265197300</v>
      </c>
    </row>
    <row r="4" spans="1:2" ht="22.5" thickTop="1" thickBot="1" x14ac:dyDescent="0.4">
      <c r="A4" s="14" t="s">
        <v>1000</v>
      </c>
      <c r="B4" s="15">
        <v>77272746.25</v>
      </c>
    </row>
    <row r="5" spans="1:2" ht="21.75" thickTop="1" x14ac:dyDescent="0.35">
      <c r="A5" s="14" t="s">
        <v>1009</v>
      </c>
      <c r="B5" s="17">
        <v>0.22563359072165862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4E7A-838D-46E1-A872-0A9A2C529FF8}">
  <dimension ref="A1:K14"/>
  <sheetViews>
    <sheetView topLeftCell="D1" workbookViewId="0">
      <selection activeCell="F10" sqref="F10"/>
    </sheetView>
  </sheetViews>
  <sheetFormatPr defaultRowHeight="15" x14ac:dyDescent="0.25"/>
  <cols>
    <col min="1" max="1" width="13.5703125" bestFit="1" customWidth="1"/>
    <col min="2" max="2" width="19" bestFit="1" customWidth="1"/>
    <col min="4" max="4" width="13.140625" bestFit="1" customWidth="1"/>
    <col min="5" max="5" width="19" bestFit="1" customWidth="1"/>
    <col min="7" max="7" width="13.140625" bestFit="1" customWidth="1"/>
    <col min="8" max="8" width="19" bestFit="1" customWidth="1"/>
    <col min="10" max="10" width="13.140625" bestFit="1" customWidth="1"/>
    <col min="11" max="11" width="19" bestFit="1" customWidth="1"/>
  </cols>
  <sheetData>
    <row r="1" spans="1:11" x14ac:dyDescent="0.25">
      <c r="A1" s="5" t="s">
        <v>1001</v>
      </c>
      <c r="B1" t="s">
        <v>1003</v>
      </c>
      <c r="D1" s="5" t="s">
        <v>1001</v>
      </c>
      <c r="E1" t="s">
        <v>1003</v>
      </c>
      <c r="G1" s="5" t="s">
        <v>1001</v>
      </c>
      <c r="H1" t="s">
        <v>1003</v>
      </c>
      <c r="J1" s="5" t="s">
        <v>1001</v>
      </c>
      <c r="K1" t="s">
        <v>1003</v>
      </c>
    </row>
    <row r="2" spans="1:11" x14ac:dyDescent="0.25">
      <c r="A2" s="6" t="s">
        <v>55</v>
      </c>
      <c r="B2" s="21">
        <v>11678040</v>
      </c>
      <c r="D2" s="6" t="s">
        <v>43</v>
      </c>
      <c r="E2" s="21">
        <v>83536116.25</v>
      </c>
      <c r="G2" s="6" t="s">
        <v>148</v>
      </c>
      <c r="H2" s="21">
        <v>40970980</v>
      </c>
      <c r="J2" s="6" t="s">
        <v>1012</v>
      </c>
      <c r="K2" s="21">
        <v>30530935</v>
      </c>
    </row>
    <row r="3" spans="1:11" x14ac:dyDescent="0.25">
      <c r="A3" s="6" t="s">
        <v>45</v>
      </c>
      <c r="B3" s="21">
        <v>3549271.25</v>
      </c>
      <c r="D3" s="6" t="s">
        <v>85</v>
      </c>
      <c r="E3" s="21">
        <v>46390623.75</v>
      </c>
      <c r="G3" s="6" t="s">
        <v>37</v>
      </c>
      <c r="H3" s="21">
        <v>39404197.5</v>
      </c>
      <c r="J3" s="6" t="s">
        <v>1013</v>
      </c>
      <c r="K3" s="21">
        <v>27794261.25</v>
      </c>
    </row>
    <row r="4" spans="1:11" x14ac:dyDescent="0.25">
      <c r="A4" s="6" t="s">
        <v>35</v>
      </c>
      <c r="B4" s="21">
        <v>86729625</v>
      </c>
      <c r="D4" s="6" t="s">
        <v>80</v>
      </c>
      <c r="E4" s="21">
        <v>49310227.5</v>
      </c>
      <c r="G4" s="6" t="s">
        <v>90</v>
      </c>
      <c r="H4" s="21">
        <v>44446971.25</v>
      </c>
      <c r="J4" s="6" t="s">
        <v>1014</v>
      </c>
      <c r="K4" s="21">
        <v>29540587.5</v>
      </c>
    </row>
    <row r="5" spans="1:11" x14ac:dyDescent="0.25">
      <c r="A5" s="6" t="s">
        <v>97</v>
      </c>
      <c r="B5" s="21">
        <v>15939062.5</v>
      </c>
      <c r="D5" s="6" t="s">
        <v>122</v>
      </c>
      <c r="E5" s="21">
        <v>65123238.75</v>
      </c>
      <c r="G5" s="6" t="s">
        <v>64</v>
      </c>
      <c r="H5" s="21">
        <v>53780872.5</v>
      </c>
      <c r="J5" s="6" t="s">
        <v>1015</v>
      </c>
      <c r="K5" s="21">
        <v>32647425</v>
      </c>
    </row>
    <row r="6" spans="1:11" x14ac:dyDescent="0.25">
      <c r="A6" s="6" t="s">
        <v>70</v>
      </c>
      <c r="B6" s="21">
        <v>16563487.5</v>
      </c>
      <c r="D6" s="6" t="s">
        <v>21</v>
      </c>
      <c r="E6" s="21">
        <v>70837507.5</v>
      </c>
      <c r="G6" s="6" t="s">
        <v>57</v>
      </c>
      <c r="H6" s="21">
        <v>55354253.75</v>
      </c>
      <c r="J6" s="6" t="s">
        <v>1016</v>
      </c>
      <c r="K6" s="21">
        <v>32039506.25</v>
      </c>
    </row>
    <row r="7" spans="1:11" x14ac:dyDescent="0.25">
      <c r="A7" s="6" t="s">
        <v>105</v>
      </c>
      <c r="B7" s="21">
        <v>28268625</v>
      </c>
      <c r="D7" s="6" t="s">
        <v>1002</v>
      </c>
      <c r="E7" s="21">
        <v>315197713.75</v>
      </c>
      <c r="G7" s="6" t="s">
        <v>26</v>
      </c>
      <c r="H7" s="21">
        <v>35655781.25</v>
      </c>
      <c r="J7" s="6" t="s">
        <v>1017</v>
      </c>
      <c r="K7" s="21">
        <v>22637620</v>
      </c>
    </row>
    <row r="8" spans="1:11" x14ac:dyDescent="0.25">
      <c r="A8" s="6" t="s">
        <v>113</v>
      </c>
      <c r="B8" s="21">
        <v>25875200</v>
      </c>
      <c r="G8" s="6" t="s">
        <v>52</v>
      </c>
      <c r="H8" s="21">
        <v>36919940</v>
      </c>
      <c r="J8" s="6" t="s">
        <v>1018</v>
      </c>
      <c r="K8" s="21">
        <v>28982813.75</v>
      </c>
    </row>
    <row r="9" spans="1:11" x14ac:dyDescent="0.25">
      <c r="A9" s="6" t="s">
        <v>93</v>
      </c>
      <c r="B9" s="21">
        <v>20572487.5</v>
      </c>
      <c r="D9" s="5" t="s">
        <v>1001</v>
      </c>
      <c r="E9" t="s">
        <v>1003</v>
      </c>
      <c r="G9" s="6" t="s">
        <v>47</v>
      </c>
      <c r="H9" s="21">
        <v>35937050</v>
      </c>
      <c r="J9" s="6" t="s">
        <v>1019</v>
      </c>
      <c r="K9" s="21">
        <v>25421337.5</v>
      </c>
    </row>
    <row r="10" spans="1:11" x14ac:dyDescent="0.25">
      <c r="A10" s="6" t="s">
        <v>24</v>
      </c>
      <c r="B10" s="21">
        <v>4004495</v>
      </c>
      <c r="D10" s="6" t="s">
        <v>44</v>
      </c>
      <c r="E10" s="21">
        <v>80396288.75</v>
      </c>
      <c r="G10" s="6" t="s">
        <v>1002</v>
      </c>
      <c r="H10" s="21">
        <v>342470046.25</v>
      </c>
      <c r="J10" s="6" t="s">
        <v>1020</v>
      </c>
      <c r="K10" s="21">
        <v>28510238.75</v>
      </c>
    </row>
    <row r="11" spans="1:11" x14ac:dyDescent="0.25">
      <c r="A11" s="6" t="s">
        <v>51</v>
      </c>
      <c r="B11" s="21">
        <v>58020200</v>
      </c>
      <c r="D11" s="6" t="s">
        <v>22</v>
      </c>
      <c r="E11" s="21">
        <v>85234277.5</v>
      </c>
      <c r="J11" s="6" t="s">
        <v>1021</v>
      </c>
      <c r="K11" s="21">
        <v>33091758.75</v>
      </c>
    </row>
    <row r="12" spans="1:11" x14ac:dyDescent="0.25">
      <c r="A12" s="6" t="s">
        <v>102</v>
      </c>
      <c r="B12" s="21">
        <v>7827120</v>
      </c>
      <c r="D12" s="6" t="s">
        <v>33</v>
      </c>
      <c r="E12" s="21">
        <v>95884393.75</v>
      </c>
      <c r="J12" s="6" t="s">
        <v>1022</v>
      </c>
      <c r="K12" s="21">
        <v>24001230</v>
      </c>
    </row>
    <row r="13" spans="1:11" x14ac:dyDescent="0.25">
      <c r="A13" s="6" t="s">
        <v>75</v>
      </c>
      <c r="B13" s="21">
        <v>36170100</v>
      </c>
      <c r="D13" s="6" t="s">
        <v>62</v>
      </c>
      <c r="E13" s="21">
        <v>80955086.25</v>
      </c>
      <c r="J13" s="6" t="s">
        <v>1002</v>
      </c>
      <c r="K13" s="21">
        <v>315197713.75</v>
      </c>
    </row>
    <row r="14" spans="1:11" x14ac:dyDescent="0.25">
      <c r="A14" s="6" t="s">
        <v>1002</v>
      </c>
      <c r="B14" s="21">
        <v>315197713.75</v>
      </c>
      <c r="D14" s="6" t="s">
        <v>1002</v>
      </c>
      <c r="E14" s="21">
        <v>342470046.25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57D1-FC72-44F7-ABEE-B77B3F9D772F}">
  <dimension ref="A1"/>
  <sheetViews>
    <sheetView topLeftCell="A21" workbookViewId="0">
      <selection activeCell="I25" sqref="I25"/>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03D3-19F4-4FCD-946A-2592FF3397EB}">
  <dimension ref="A1:AE601"/>
  <sheetViews>
    <sheetView topLeftCell="A2" workbookViewId="0">
      <selection activeCell="F17" sqref="F17"/>
    </sheetView>
  </sheetViews>
  <sheetFormatPr defaultRowHeight="15" x14ac:dyDescent="0.25"/>
  <cols>
    <col min="1" max="1" width="12" customWidth="1"/>
    <col min="2" max="2" width="30.42578125" style="20" bestFit="1" customWidth="1"/>
    <col min="3" max="4" width="16" customWidth="1"/>
    <col min="5" max="7" width="15" customWidth="1"/>
    <col min="8" max="8" width="18.140625" customWidth="1"/>
    <col min="9" max="9" width="16" customWidth="1"/>
    <col min="10" max="10" width="17" customWidth="1"/>
    <col min="11" max="11" width="12" customWidth="1"/>
    <col min="12" max="12" width="16.7109375" style="3" customWidth="1"/>
    <col min="13" max="13" width="16.140625" style="3" customWidth="1"/>
    <col min="14" max="14" width="14.85546875" customWidth="1"/>
    <col min="15" max="15" width="12" customWidth="1"/>
    <col min="16" max="16" width="13.7109375" customWidth="1"/>
    <col min="17" max="17" width="16.7109375" style="3" bestFit="1" customWidth="1"/>
    <col min="18" max="18" width="14.28515625" bestFit="1" customWidth="1"/>
    <col min="19" max="19" width="14.140625" style="3" bestFit="1" customWidth="1"/>
    <col min="20" max="20" width="13.140625" style="3" bestFit="1" customWidth="1"/>
  </cols>
  <sheetData>
    <row r="1" spans="1:31" ht="30" customHeight="1" x14ac:dyDescent="0.25">
      <c r="A1" s="1" t="s">
        <v>0</v>
      </c>
      <c r="B1" s="19" t="s">
        <v>1011</v>
      </c>
      <c r="C1" s="1" t="s">
        <v>2</v>
      </c>
      <c r="D1" s="1" t="s">
        <v>3</v>
      </c>
      <c r="E1" s="1" t="s">
        <v>4</v>
      </c>
      <c r="F1" s="1" t="s">
        <v>5</v>
      </c>
      <c r="G1" s="1" t="s">
        <v>6</v>
      </c>
      <c r="H1" s="1" t="s">
        <v>7</v>
      </c>
      <c r="I1" s="1" t="s">
        <v>8</v>
      </c>
      <c r="J1" s="1" t="s">
        <v>9</v>
      </c>
      <c r="K1" s="1" t="s">
        <v>10</v>
      </c>
      <c r="L1" s="2" t="s">
        <v>11</v>
      </c>
      <c r="M1" s="2" t="s">
        <v>12</v>
      </c>
      <c r="N1" s="1" t="s">
        <v>13</v>
      </c>
      <c r="O1" s="1" t="s">
        <v>14</v>
      </c>
      <c r="P1" s="1" t="s">
        <v>15</v>
      </c>
      <c r="Q1" s="4" t="s">
        <v>997</v>
      </c>
      <c r="R1" s="7" t="s">
        <v>998</v>
      </c>
      <c r="S1" s="4" t="s">
        <v>999</v>
      </c>
      <c r="T1" s="4" t="s">
        <v>1000</v>
      </c>
      <c r="U1" s="7" t="s">
        <v>1010</v>
      </c>
    </row>
    <row r="2" spans="1:31" x14ac:dyDescent="0.25">
      <c r="A2" t="s">
        <v>16</v>
      </c>
      <c r="B2" s="20">
        <v>45729</v>
      </c>
      <c r="C2" t="s">
        <v>18</v>
      </c>
      <c r="D2" t="s">
        <v>19</v>
      </c>
      <c r="E2" t="s">
        <v>20</v>
      </c>
      <c r="F2" t="s">
        <v>21</v>
      </c>
      <c r="G2" t="s">
        <v>22</v>
      </c>
      <c r="H2" t="s">
        <v>23</v>
      </c>
      <c r="I2" t="s">
        <v>24</v>
      </c>
      <c r="J2" t="s">
        <v>25</v>
      </c>
      <c r="K2">
        <v>1</v>
      </c>
      <c r="L2" s="3">
        <v>22000</v>
      </c>
      <c r="M2" s="3">
        <v>13000</v>
      </c>
      <c r="N2">
        <v>0</v>
      </c>
      <c r="O2" t="s">
        <v>26</v>
      </c>
      <c r="P2" t="s">
        <v>27</v>
      </c>
      <c r="Q2" s="3">
        <f>Table13[[#This Row],[Quantity]]*Table13[[#This Row],[UnitPrice_NGN]]</f>
        <v>22000</v>
      </c>
      <c r="R2" s="9">
        <f>Table13[[#This Row],[GrossRevenue]]*(1-Table13[[#This Row],[DiscountRate]])</f>
        <v>22000</v>
      </c>
      <c r="S2" s="3">
        <f>Table13[[#This Row],[Quantity]]*Table13[[#This Row],[UnitCost_NGN]]</f>
        <v>13000</v>
      </c>
      <c r="T2" s="3">
        <f>Table13[[#This Row],[NetRevenue]]-Table13[[#This Row],[TotalCost]]</f>
        <v>9000</v>
      </c>
      <c r="U2" s="3"/>
    </row>
    <row r="3" spans="1:31" x14ac:dyDescent="0.25">
      <c r="A3" t="s">
        <v>28</v>
      </c>
      <c r="B3" s="20">
        <v>45759</v>
      </c>
      <c r="C3" t="s">
        <v>30</v>
      </c>
      <c r="D3" t="s">
        <v>31</v>
      </c>
      <c r="E3" t="s">
        <v>32</v>
      </c>
      <c r="F3" t="s">
        <v>21</v>
      </c>
      <c r="G3" t="s">
        <v>33</v>
      </c>
      <c r="H3" t="s">
        <v>34</v>
      </c>
      <c r="I3" t="s">
        <v>35</v>
      </c>
      <c r="J3" t="s">
        <v>36</v>
      </c>
      <c r="K3">
        <v>1</v>
      </c>
      <c r="L3" s="3">
        <v>427500</v>
      </c>
      <c r="M3" s="3">
        <v>332500</v>
      </c>
      <c r="N3">
        <v>0.1</v>
      </c>
      <c r="O3" t="s">
        <v>37</v>
      </c>
      <c r="P3" t="s">
        <v>27</v>
      </c>
      <c r="Q3" s="3">
        <f>Table13[[#This Row],[Quantity]]*Table13[[#This Row],[UnitPrice_NGN]]</f>
        <v>427500</v>
      </c>
      <c r="R3" s="9">
        <f>Table13[[#This Row],[GrossRevenue]]*(1-Table13[[#This Row],[DiscountRate]])</f>
        <v>384750</v>
      </c>
      <c r="S3" s="3">
        <f>Table13[[#This Row],[Quantity]]*Table13[[#This Row],[UnitCost_NGN]]</f>
        <v>332500</v>
      </c>
      <c r="T3" s="3">
        <f>Table13[[#This Row],[NetRevenue]]-Table13[[#This Row],[TotalCost]]</f>
        <v>52250</v>
      </c>
      <c r="U3" s="3"/>
    </row>
    <row r="4" spans="1:31" x14ac:dyDescent="0.25">
      <c r="A4" t="s">
        <v>38</v>
      </c>
      <c r="B4" s="20">
        <v>45874</v>
      </c>
      <c r="C4" t="s">
        <v>40</v>
      </c>
      <c r="D4" t="s">
        <v>41</v>
      </c>
      <c r="E4" t="s">
        <v>42</v>
      </c>
      <c r="F4" t="s">
        <v>43</v>
      </c>
      <c r="G4" t="s">
        <v>44</v>
      </c>
      <c r="H4" t="s">
        <v>34</v>
      </c>
      <c r="I4" t="s">
        <v>45</v>
      </c>
      <c r="J4" t="s">
        <v>46</v>
      </c>
      <c r="K4">
        <v>6</v>
      </c>
      <c r="L4" s="3">
        <v>16650</v>
      </c>
      <c r="M4" s="3">
        <v>14500</v>
      </c>
      <c r="N4">
        <v>0.15</v>
      </c>
      <c r="O4" t="s">
        <v>47</v>
      </c>
      <c r="P4" t="s">
        <v>48</v>
      </c>
      <c r="Q4" s="3">
        <f>Table13[[#This Row],[Quantity]]*Table13[[#This Row],[UnitPrice_NGN]]</f>
        <v>99900</v>
      </c>
      <c r="R4" s="9">
        <f>Table13[[#This Row],[GrossRevenue]]*(1-Table13[[#This Row],[DiscountRate]])</f>
        <v>84915</v>
      </c>
      <c r="S4" s="3">
        <f>Table13[[#This Row],[Quantity]]*Table13[[#This Row],[UnitCost_NGN]]</f>
        <v>87000</v>
      </c>
      <c r="T4" s="3">
        <f>Table13[[#This Row],[NetRevenue]]-Table13[[#This Row],[TotalCost]]</f>
        <v>-2085</v>
      </c>
      <c r="U4" s="3"/>
      <c r="V4" s="10"/>
      <c r="W4" s="10"/>
      <c r="X4" s="10"/>
      <c r="Y4" s="10"/>
      <c r="Z4" s="10"/>
      <c r="AA4" s="10"/>
      <c r="AB4" s="10"/>
      <c r="AC4" s="10"/>
      <c r="AD4" s="10"/>
      <c r="AE4" s="10"/>
    </row>
    <row r="5" spans="1:31" x14ac:dyDescent="0.25">
      <c r="A5" t="s">
        <v>49</v>
      </c>
      <c r="B5" s="20">
        <v>45793</v>
      </c>
      <c r="C5" t="s">
        <v>30</v>
      </c>
      <c r="D5" t="s">
        <v>19</v>
      </c>
      <c r="E5" t="s">
        <v>20</v>
      </c>
      <c r="F5" t="s">
        <v>21</v>
      </c>
      <c r="G5" t="s">
        <v>33</v>
      </c>
      <c r="H5" t="s">
        <v>23</v>
      </c>
      <c r="I5" t="s">
        <v>51</v>
      </c>
      <c r="J5" t="s">
        <v>36</v>
      </c>
      <c r="K5">
        <v>3</v>
      </c>
      <c r="L5" s="3">
        <v>280000</v>
      </c>
      <c r="M5" s="3">
        <v>210000</v>
      </c>
      <c r="N5">
        <v>0.1</v>
      </c>
      <c r="O5" t="s">
        <v>52</v>
      </c>
      <c r="P5" t="s">
        <v>48</v>
      </c>
      <c r="Q5" s="3">
        <f>Table13[[#This Row],[Quantity]]*Table13[[#This Row],[UnitPrice_NGN]]</f>
        <v>840000</v>
      </c>
      <c r="R5" s="9">
        <f>Table13[[#This Row],[GrossRevenue]]*(1-Table13[[#This Row],[DiscountRate]])</f>
        <v>756000</v>
      </c>
      <c r="S5" s="3">
        <f>Table13[[#This Row],[Quantity]]*Table13[[#This Row],[UnitCost_NGN]]</f>
        <v>630000</v>
      </c>
      <c r="T5" s="3">
        <f>Table13[[#This Row],[NetRevenue]]-Table13[[#This Row],[TotalCost]]</f>
        <v>126000</v>
      </c>
      <c r="U5" s="3" t="b">
        <f>ISNUMBER(B2)</f>
        <v>1</v>
      </c>
      <c r="V5" s="10"/>
      <c r="W5" s="10"/>
      <c r="X5" s="10"/>
      <c r="Y5" s="10"/>
      <c r="Z5" s="10"/>
      <c r="AA5" s="10"/>
      <c r="AB5" s="10"/>
      <c r="AC5" s="10"/>
      <c r="AD5" s="10"/>
      <c r="AE5" s="10"/>
    </row>
    <row r="6" spans="1:31" x14ac:dyDescent="0.25">
      <c r="A6" t="s">
        <v>53</v>
      </c>
      <c r="B6" s="20">
        <v>45756</v>
      </c>
      <c r="C6" t="s">
        <v>18</v>
      </c>
      <c r="D6" t="s">
        <v>19</v>
      </c>
      <c r="E6" t="s">
        <v>20</v>
      </c>
      <c r="F6" t="s">
        <v>21</v>
      </c>
      <c r="G6" t="s">
        <v>22</v>
      </c>
      <c r="H6" t="s">
        <v>34</v>
      </c>
      <c r="I6" t="s">
        <v>55</v>
      </c>
      <c r="J6" t="s">
        <v>56</v>
      </c>
      <c r="K6">
        <v>4</v>
      </c>
      <c r="L6" s="3">
        <v>52800</v>
      </c>
      <c r="M6" s="3">
        <v>30000</v>
      </c>
      <c r="N6">
        <v>0.1</v>
      </c>
      <c r="O6" t="s">
        <v>57</v>
      </c>
      <c r="P6" t="s">
        <v>27</v>
      </c>
      <c r="Q6" s="3">
        <f>Table13[[#This Row],[Quantity]]*Table13[[#This Row],[UnitPrice_NGN]]</f>
        <v>211200</v>
      </c>
      <c r="R6" s="9">
        <f>Table13[[#This Row],[GrossRevenue]]*(1-Table13[[#This Row],[DiscountRate]])</f>
        <v>190080</v>
      </c>
      <c r="S6" s="3">
        <f>Table13[[#This Row],[Quantity]]*Table13[[#This Row],[UnitCost_NGN]]</f>
        <v>120000</v>
      </c>
      <c r="T6" s="3">
        <f>Table13[[#This Row],[NetRevenue]]-Table13[[#This Row],[TotalCost]]</f>
        <v>70080</v>
      </c>
      <c r="U6" s="3"/>
      <c r="V6" s="10"/>
      <c r="W6" s="10"/>
      <c r="X6" s="10"/>
      <c r="Y6" s="10"/>
      <c r="Z6" s="10"/>
      <c r="AA6" s="10"/>
      <c r="AB6" s="10"/>
      <c r="AC6" s="10"/>
      <c r="AD6" s="10"/>
      <c r="AE6" s="10"/>
    </row>
    <row r="7" spans="1:31" x14ac:dyDescent="0.25">
      <c r="A7" t="s">
        <v>58</v>
      </c>
      <c r="B7" s="20">
        <v>45983</v>
      </c>
      <c r="C7" t="s">
        <v>18</v>
      </c>
      <c r="D7" t="s">
        <v>60</v>
      </c>
      <c r="E7" t="s">
        <v>61</v>
      </c>
      <c r="F7" t="s">
        <v>43</v>
      </c>
      <c r="G7" t="s">
        <v>62</v>
      </c>
      <c r="H7" t="s">
        <v>63</v>
      </c>
      <c r="I7" t="s">
        <v>51</v>
      </c>
      <c r="J7" t="s">
        <v>36</v>
      </c>
      <c r="K7">
        <v>8</v>
      </c>
      <c r="L7" s="3">
        <v>280000</v>
      </c>
      <c r="M7" s="3">
        <v>210000</v>
      </c>
      <c r="N7">
        <v>0.05</v>
      </c>
      <c r="O7" t="s">
        <v>64</v>
      </c>
      <c r="P7" t="s">
        <v>48</v>
      </c>
      <c r="Q7" s="3">
        <f>Table13[[#This Row],[Quantity]]*Table13[[#This Row],[UnitPrice_NGN]]</f>
        <v>2240000</v>
      </c>
      <c r="R7" s="9">
        <f>Table13[[#This Row],[GrossRevenue]]*(1-Table13[[#This Row],[DiscountRate]])</f>
        <v>2128000</v>
      </c>
      <c r="S7" s="3">
        <f>Table13[[#This Row],[Quantity]]*Table13[[#This Row],[UnitCost_NGN]]</f>
        <v>1680000</v>
      </c>
      <c r="T7" s="3">
        <f>Table13[[#This Row],[NetRevenue]]-Table13[[#This Row],[TotalCost]]</f>
        <v>448000</v>
      </c>
      <c r="U7" s="3"/>
      <c r="V7" s="10"/>
      <c r="W7" s="10"/>
      <c r="X7" s="10"/>
      <c r="Y7" s="10"/>
      <c r="Z7" s="10"/>
      <c r="AA7" s="10"/>
      <c r="AB7" s="11"/>
      <c r="AC7" s="10"/>
      <c r="AD7" s="10"/>
      <c r="AE7" s="10"/>
    </row>
    <row r="8" spans="1:31" x14ac:dyDescent="0.25">
      <c r="A8" t="s">
        <v>65</v>
      </c>
      <c r="B8" s="20">
        <v>45983</v>
      </c>
      <c r="C8" t="s">
        <v>30</v>
      </c>
      <c r="D8" t="s">
        <v>41</v>
      </c>
      <c r="E8" t="s">
        <v>42</v>
      </c>
      <c r="F8" t="s">
        <v>43</v>
      </c>
      <c r="G8" t="s">
        <v>44</v>
      </c>
      <c r="H8" t="s">
        <v>34</v>
      </c>
      <c r="I8" t="s">
        <v>24</v>
      </c>
      <c r="J8" t="s">
        <v>25</v>
      </c>
      <c r="K8">
        <v>5</v>
      </c>
      <c r="L8" s="3">
        <v>23100</v>
      </c>
      <c r="M8" s="3">
        <v>12350</v>
      </c>
      <c r="N8">
        <v>0.1</v>
      </c>
      <c r="O8" t="s">
        <v>37</v>
      </c>
      <c r="P8" t="s">
        <v>48</v>
      </c>
      <c r="Q8" s="3">
        <f>Table13[[#This Row],[Quantity]]*Table13[[#This Row],[UnitPrice_NGN]]</f>
        <v>115500</v>
      </c>
      <c r="R8" s="9">
        <f>Table13[[#This Row],[GrossRevenue]]*(1-Table13[[#This Row],[DiscountRate]])</f>
        <v>103950</v>
      </c>
      <c r="S8" s="3">
        <f>Table13[[#This Row],[Quantity]]*Table13[[#This Row],[UnitCost_NGN]]</f>
        <v>61750</v>
      </c>
      <c r="T8" s="3">
        <f>Table13[[#This Row],[NetRevenue]]-Table13[[#This Row],[TotalCost]]</f>
        <v>42200</v>
      </c>
      <c r="U8" s="3"/>
      <c r="V8" s="10"/>
      <c r="W8" s="10"/>
      <c r="X8" s="10"/>
      <c r="Y8" s="10"/>
      <c r="Z8" s="10"/>
      <c r="AA8" s="10"/>
      <c r="AB8" s="10"/>
      <c r="AC8" s="10"/>
      <c r="AD8" s="10"/>
      <c r="AE8" s="10"/>
    </row>
    <row r="9" spans="1:31" x14ac:dyDescent="0.25">
      <c r="A9" t="s">
        <v>66</v>
      </c>
      <c r="B9" s="20">
        <v>45824</v>
      </c>
      <c r="C9" t="s">
        <v>18</v>
      </c>
      <c r="D9" t="s">
        <v>41</v>
      </c>
      <c r="E9" t="s">
        <v>42</v>
      </c>
      <c r="F9" t="s">
        <v>43</v>
      </c>
      <c r="G9" t="s">
        <v>22</v>
      </c>
      <c r="H9" t="s">
        <v>63</v>
      </c>
      <c r="I9" t="s">
        <v>55</v>
      </c>
      <c r="J9" t="s">
        <v>56</v>
      </c>
      <c r="K9">
        <v>15</v>
      </c>
      <c r="L9" s="3">
        <v>50400</v>
      </c>
      <c r="M9" s="3">
        <v>30000</v>
      </c>
      <c r="N9">
        <v>0.15</v>
      </c>
      <c r="O9" t="s">
        <v>26</v>
      </c>
      <c r="P9" t="s">
        <v>48</v>
      </c>
      <c r="Q9" s="3">
        <f>Table13[[#This Row],[Quantity]]*Table13[[#This Row],[UnitPrice_NGN]]</f>
        <v>756000</v>
      </c>
      <c r="R9" s="9">
        <f>Table13[[#This Row],[GrossRevenue]]*(1-Table13[[#This Row],[DiscountRate]])</f>
        <v>642600</v>
      </c>
      <c r="S9" s="3">
        <f>Table13[[#This Row],[Quantity]]*Table13[[#This Row],[UnitCost_NGN]]</f>
        <v>450000</v>
      </c>
      <c r="T9" s="3">
        <f>Table13[[#This Row],[NetRevenue]]-Table13[[#This Row],[TotalCost]]</f>
        <v>192600</v>
      </c>
      <c r="U9" s="3"/>
      <c r="V9" s="10"/>
      <c r="W9" s="10"/>
      <c r="X9" s="10"/>
      <c r="Y9" s="10"/>
      <c r="Z9" s="10"/>
      <c r="AA9" s="10"/>
      <c r="AB9" s="10"/>
      <c r="AC9" s="10"/>
      <c r="AD9" s="10"/>
      <c r="AE9" s="10"/>
    </row>
    <row r="10" spans="1:31" x14ac:dyDescent="0.25">
      <c r="A10" t="s">
        <v>68</v>
      </c>
      <c r="B10" s="20">
        <v>45993</v>
      </c>
      <c r="C10" t="s">
        <v>40</v>
      </c>
      <c r="D10" t="s">
        <v>19</v>
      </c>
      <c r="E10" t="s">
        <v>20</v>
      </c>
      <c r="F10" t="s">
        <v>21</v>
      </c>
      <c r="G10" t="s">
        <v>33</v>
      </c>
      <c r="H10" t="s">
        <v>34</v>
      </c>
      <c r="I10" t="s">
        <v>70</v>
      </c>
      <c r="J10" t="s">
        <v>71</v>
      </c>
      <c r="K10">
        <v>2</v>
      </c>
      <c r="L10" s="3">
        <v>95000</v>
      </c>
      <c r="M10" s="3">
        <v>62000</v>
      </c>
      <c r="N10">
        <v>0</v>
      </c>
      <c r="O10" t="s">
        <v>57</v>
      </c>
      <c r="P10" t="s">
        <v>72</v>
      </c>
      <c r="Q10" s="3">
        <f>Table13[[#This Row],[Quantity]]*Table13[[#This Row],[UnitPrice_NGN]]</f>
        <v>190000</v>
      </c>
      <c r="R10" s="9">
        <f>Table13[[#This Row],[GrossRevenue]]*(1-Table13[[#This Row],[DiscountRate]])</f>
        <v>190000</v>
      </c>
      <c r="S10" s="3">
        <f>Table13[[#This Row],[Quantity]]*Table13[[#This Row],[UnitCost_NGN]]</f>
        <v>124000</v>
      </c>
      <c r="T10" s="3">
        <f>Table13[[#This Row],[NetRevenue]]-Table13[[#This Row],[TotalCost]]</f>
        <v>66000</v>
      </c>
      <c r="U10" s="3"/>
      <c r="V10" s="10"/>
      <c r="W10" s="10"/>
      <c r="X10" s="10"/>
      <c r="Y10" s="10"/>
      <c r="Z10" s="10"/>
      <c r="AA10" s="10"/>
      <c r="AB10" s="10"/>
      <c r="AC10" s="10"/>
      <c r="AD10" s="10"/>
      <c r="AE10" s="10"/>
    </row>
    <row r="11" spans="1:31" x14ac:dyDescent="0.25">
      <c r="A11" t="s">
        <v>73</v>
      </c>
      <c r="B11" s="20">
        <v>45957</v>
      </c>
      <c r="C11" t="s">
        <v>30</v>
      </c>
      <c r="D11" t="s">
        <v>60</v>
      </c>
      <c r="E11" t="s">
        <v>61</v>
      </c>
      <c r="F11" t="s">
        <v>43</v>
      </c>
      <c r="G11" t="s">
        <v>33</v>
      </c>
      <c r="H11" t="s">
        <v>63</v>
      </c>
      <c r="I11" t="s">
        <v>75</v>
      </c>
      <c r="J11" t="s">
        <v>36</v>
      </c>
      <c r="K11">
        <v>6</v>
      </c>
      <c r="L11" s="3">
        <v>180000</v>
      </c>
      <c r="M11" s="3">
        <v>130000</v>
      </c>
      <c r="N11">
        <v>0.15</v>
      </c>
      <c r="O11" t="s">
        <v>64</v>
      </c>
      <c r="P11" t="s">
        <v>72</v>
      </c>
      <c r="Q11" s="3">
        <f>Table13[[#This Row],[Quantity]]*Table13[[#This Row],[UnitPrice_NGN]]</f>
        <v>1080000</v>
      </c>
      <c r="R11" s="9">
        <f>Table13[[#This Row],[GrossRevenue]]*(1-Table13[[#This Row],[DiscountRate]])</f>
        <v>918000</v>
      </c>
      <c r="S11" s="3">
        <f>Table13[[#This Row],[Quantity]]*Table13[[#This Row],[UnitCost_NGN]]</f>
        <v>780000</v>
      </c>
      <c r="T11" s="3">
        <f>Table13[[#This Row],[NetRevenue]]-Table13[[#This Row],[TotalCost]]</f>
        <v>138000</v>
      </c>
      <c r="U11" s="3"/>
      <c r="V11" s="10"/>
      <c r="W11" s="10"/>
      <c r="X11" s="10"/>
      <c r="Y11" s="10"/>
      <c r="Z11" s="10"/>
      <c r="AA11" s="10"/>
      <c r="AB11" s="10"/>
      <c r="AC11" s="10"/>
      <c r="AD11" s="10"/>
      <c r="AE11" s="10"/>
    </row>
    <row r="12" spans="1:31" x14ac:dyDescent="0.25">
      <c r="A12" t="s">
        <v>76</v>
      </c>
      <c r="B12" s="20">
        <v>45736</v>
      </c>
      <c r="C12" t="s">
        <v>18</v>
      </c>
      <c r="D12" t="s">
        <v>78</v>
      </c>
      <c r="E12" t="s">
        <v>79</v>
      </c>
      <c r="F12" t="s">
        <v>80</v>
      </c>
      <c r="G12" t="s">
        <v>33</v>
      </c>
      <c r="H12" t="s">
        <v>23</v>
      </c>
      <c r="I12" t="s">
        <v>75</v>
      </c>
      <c r="J12" t="s">
        <v>36</v>
      </c>
      <c r="K12">
        <v>3</v>
      </c>
      <c r="L12" s="3">
        <v>198000</v>
      </c>
      <c r="M12" s="3">
        <v>123500</v>
      </c>
      <c r="N12">
        <v>0</v>
      </c>
      <c r="O12" t="s">
        <v>52</v>
      </c>
      <c r="P12" t="s">
        <v>27</v>
      </c>
      <c r="Q12" s="3">
        <f>Table13[[#This Row],[Quantity]]*Table13[[#This Row],[UnitPrice_NGN]]</f>
        <v>594000</v>
      </c>
      <c r="R12" s="9">
        <f>Table13[[#This Row],[GrossRevenue]]*(1-Table13[[#This Row],[DiscountRate]])</f>
        <v>594000</v>
      </c>
      <c r="S12" s="3">
        <f>Table13[[#This Row],[Quantity]]*Table13[[#This Row],[UnitCost_NGN]]</f>
        <v>370500</v>
      </c>
      <c r="T12" s="3">
        <f>Table13[[#This Row],[NetRevenue]]-Table13[[#This Row],[TotalCost]]</f>
        <v>223500</v>
      </c>
      <c r="U12" s="3"/>
      <c r="V12" s="10"/>
      <c r="W12" s="10"/>
      <c r="X12" s="10"/>
      <c r="Y12" s="10"/>
      <c r="Z12" s="10"/>
      <c r="AA12" s="10"/>
      <c r="AB12" s="10"/>
      <c r="AC12" s="10"/>
      <c r="AD12" s="10"/>
      <c r="AE12" s="10"/>
    </row>
    <row r="13" spans="1:31" x14ac:dyDescent="0.25">
      <c r="A13" t="s">
        <v>81</v>
      </c>
      <c r="B13" s="20">
        <v>45663</v>
      </c>
      <c r="C13" t="s">
        <v>30</v>
      </c>
      <c r="D13" t="s">
        <v>83</v>
      </c>
      <c r="E13" t="s">
        <v>84</v>
      </c>
      <c r="F13" t="s">
        <v>85</v>
      </c>
      <c r="G13" t="s">
        <v>22</v>
      </c>
      <c r="H13" t="s">
        <v>23</v>
      </c>
      <c r="I13" t="s">
        <v>55</v>
      </c>
      <c r="J13" t="s">
        <v>56</v>
      </c>
      <c r="K13">
        <v>4</v>
      </c>
      <c r="L13" s="3">
        <v>48000</v>
      </c>
      <c r="M13" s="3">
        <v>30000</v>
      </c>
      <c r="N13">
        <v>0.1</v>
      </c>
      <c r="O13" t="s">
        <v>57</v>
      </c>
      <c r="P13" t="s">
        <v>27</v>
      </c>
      <c r="Q13" s="3">
        <f>Table13[[#This Row],[Quantity]]*Table13[[#This Row],[UnitPrice_NGN]]</f>
        <v>192000</v>
      </c>
      <c r="R13" s="9">
        <f>Table13[[#This Row],[GrossRevenue]]*(1-Table13[[#This Row],[DiscountRate]])</f>
        <v>172800</v>
      </c>
      <c r="S13" s="3">
        <f>Table13[[#This Row],[Quantity]]*Table13[[#This Row],[UnitCost_NGN]]</f>
        <v>120000</v>
      </c>
      <c r="T13" s="3">
        <f>Table13[[#This Row],[NetRevenue]]-Table13[[#This Row],[TotalCost]]</f>
        <v>52800</v>
      </c>
      <c r="U13" s="3"/>
      <c r="V13" s="10"/>
      <c r="W13" s="10"/>
      <c r="X13" s="10"/>
      <c r="Y13" s="10"/>
      <c r="Z13" s="10"/>
      <c r="AA13" s="10"/>
      <c r="AB13" s="10"/>
      <c r="AC13" s="10"/>
      <c r="AD13" s="10"/>
      <c r="AE13" s="10"/>
    </row>
    <row r="14" spans="1:31" x14ac:dyDescent="0.25">
      <c r="A14" t="s">
        <v>86</v>
      </c>
      <c r="B14" s="20">
        <v>45659</v>
      </c>
      <c r="C14" t="s">
        <v>30</v>
      </c>
      <c r="D14" t="s">
        <v>88</v>
      </c>
      <c r="E14" t="s">
        <v>89</v>
      </c>
      <c r="F14" t="s">
        <v>43</v>
      </c>
      <c r="G14" t="s">
        <v>62</v>
      </c>
      <c r="H14" t="s">
        <v>23</v>
      </c>
      <c r="I14" t="s">
        <v>24</v>
      </c>
      <c r="J14" t="s">
        <v>25</v>
      </c>
      <c r="K14">
        <v>1</v>
      </c>
      <c r="L14" s="3">
        <v>22000</v>
      </c>
      <c r="M14" s="3">
        <v>13000</v>
      </c>
      <c r="N14">
        <v>0.05</v>
      </c>
      <c r="O14" t="s">
        <v>90</v>
      </c>
      <c r="P14" t="s">
        <v>27</v>
      </c>
      <c r="Q14" s="3">
        <f>Table13[[#This Row],[Quantity]]*Table13[[#This Row],[UnitPrice_NGN]]</f>
        <v>22000</v>
      </c>
      <c r="R14" s="9">
        <f>Table13[[#This Row],[GrossRevenue]]*(1-Table13[[#This Row],[DiscountRate]])</f>
        <v>20900</v>
      </c>
      <c r="S14" s="3">
        <f>Table13[[#This Row],[Quantity]]*Table13[[#This Row],[UnitCost_NGN]]</f>
        <v>13000</v>
      </c>
      <c r="T14" s="3">
        <f>Table13[[#This Row],[NetRevenue]]-Table13[[#This Row],[TotalCost]]</f>
        <v>7900</v>
      </c>
      <c r="U14" s="3"/>
      <c r="V14" s="10"/>
      <c r="W14" s="10"/>
      <c r="X14" s="10"/>
      <c r="Y14" s="10"/>
      <c r="Z14" s="10"/>
      <c r="AA14" s="10"/>
      <c r="AB14" s="10"/>
      <c r="AC14" s="10"/>
      <c r="AD14" s="10"/>
      <c r="AE14" s="10"/>
    </row>
    <row r="15" spans="1:31" x14ac:dyDescent="0.25">
      <c r="A15" t="s">
        <v>91</v>
      </c>
      <c r="B15" s="20">
        <v>45849</v>
      </c>
      <c r="C15" t="s">
        <v>30</v>
      </c>
      <c r="D15" t="s">
        <v>19</v>
      </c>
      <c r="E15" t="s">
        <v>20</v>
      </c>
      <c r="F15" t="s">
        <v>21</v>
      </c>
      <c r="G15" t="s">
        <v>22</v>
      </c>
      <c r="H15" t="s">
        <v>23</v>
      </c>
      <c r="I15" t="s">
        <v>93</v>
      </c>
      <c r="J15" t="s">
        <v>46</v>
      </c>
      <c r="K15">
        <v>8</v>
      </c>
      <c r="L15" s="3">
        <v>95000</v>
      </c>
      <c r="M15" s="3">
        <v>82000</v>
      </c>
      <c r="N15">
        <v>0</v>
      </c>
      <c r="O15" t="s">
        <v>47</v>
      </c>
      <c r="P15" t="s">
        <v>48</v>
      </c>
      <c r="Q15" s="3">
        <f>Table13[[#This Row],[Quantity]]*Table13[[#This Row],[UnitPrice_NGN]]</f>
        <v>760000</v>
      </c>
      <c r="R15" s="9">
        <f>Table13[[#This Row],[GrossRevenue]]*(1-Table13[[#This Row],[DiscountRate]])</f>
        <v>760000</v>
      </c>
      <c r="S15" s="3">
        <f>Table13[[#This Row],[Quantity]]*Table13[[#This Row],[UnitCost_NGN]]</f>
        <v>656000</v>
      </c>
      <c r="T15" s="3">
        <f>Table13[[#This Row],[NetRevenue]]-Table13[[#This Row],[TotalCost]]</f>
        <v>104000</v>
      </c>
      <c r="U15" s="3"/>
      <c r="V15" s="10"/>
      <c r="W15" s="10"/>
      <c r="X15" s="10"/>
      <c r="Y15" s="10"/>
      <c r="Z15" s="10"/>
      <c r="AA15" s="10"/>
      <c r="AB15" s="10"/>
      <c r="AC15" s="10"/>
      <c r="AD15" s="10"/>
      <c r="AE15" s="10"/>
    </row>
    <row r="16" spans="1:31" x14ac:dyDescent="0.25">
      <c r="A16" t="s">
        <v>94</v>
      </c>
      <c r="B16" s="20">
        <v>45687</v>
      </c>
      <c r="C16" t="s">
        <v>30</v>
      </c>
      <c r="D16" t="s">
        <v>31</v>
      </c>
      <c r="E16" t="s">
        <v>32</v>
      </c>
      <c r="F16" t="s">
        <v>21</v>
      </c>
      <c r="G16" t="s">
        <v>22</v>
      </c>
      <c r="H16" t="s">
        <v>96</v>
      </c>
      <c r="I16" t="s">
        <v>97</v>
      </c>
      <c r="J16" t="s">
        <v>56</v>
      </c>
      <c r="K16">
        <v>1</v>
      </c>
      <c r="L16" s="3">
        <v>125000</v>
      </c>
      <c r="M16" s="3">
        <v>85000</v>
      </c>
      <c r="N16">
        <v>0</v>
      </c>
      <c r="O16" t="s">
        <v>37</v>
      </c>
      <c r="P16" t="s">
        <v>48</v>
      </c>
      <c r="Q16" s="3">
        <f>Table13[[#This Row],[Quantity]]*Table13[[#This Row],[UnitPrice_NGN]]</f>
        <v>125000</v>
      </c>
      <c r="R16" s="9">
        <f>Table13[[#This Row],[GrossRevenue]]*(1-Table13[[#This Row],[DiscountRate]])</f>
        <v>125000</v>
      </c>
      <c r="S16" s="3">
        <f>Table13[[#This Row],[Quantity]]*Table13[[#This Row],[UnitCost_NGN]]</f>
        <v>85000</v>
      </c>
      <c r="T16" s="3">
        <f>Table13[[#This Row],[NetRevenue]]-Table13[[#This Row],[TotalCost]]</f>
        <v>40000</v>
      </c>
      <c r="U16" s="3"/>
      <c r="V16" s="10"/>
      <c r="W16" s="10"/>
      <c r="X16" s="10"/>
      <c r="Y16" s="10"/>
      <c r="Z16" s="10"/>
      <c r="AA16" s="10"/>
      <c r="AB16" s="10"/>
      <c r="AC16" s="10"/>
      <c r="AD16" s="10"/>
      <c r="AE16" s="10"/>
    </row>
    <row r="17" spans="1:31" x14ac:dyDescent="0.25">
      <c r="A17" t="s">
        <v>98</v>
      </c>
      <c r="B17" s="20">
        <v>45742</v>
      </c>
      <c r="C17" t="s">
        <v>30</v>
      </c>
      <c r="D17" t="s">
        <v>78</v>
      </c>
      <c r="E17" t="s">
        <v>79</v>
      </c>
      <c r="F17" t="s">
        <v>80</v>
      </c>
      <c r="G17" t="s">
        <v>33</v>
      </c>
      <c r="H17" t="s">
        <v>34</v>
      </c>
      <c r="I17" t="s">
        <v>51</v>
      </c>
      <c r="J17" t="s">
        <v>36</v>
      </c>
      <c r="K17">
        <v>6</v>
      </c>
      <c r="L17" s="3">
        <v>266000</v>
      </c>
      <c r="M17" s="3">
        <v>220500</v>
      </c>
      <c r="N17">
        <v>0.1</v>
      </c>
      <c r="O17" t="s">
        <v>64</v>
      </c>
      <c r="P17" t="s">
        <v>48</v>
      </c>
      <c r="Q17" s="3">
        <f>Table13[[#This Row],[Quantity]]*Table13[[#This Row],[UnitPrice_NGN]]</f>
        <v>1596000</v>
      </c>
      <c r="R17" s="9">
        <f>Table13[[#This Row],[GrossRevenue]]*(1-Table13[[#This Row],[DiscountRate]])</f>
        <v>1436400</v>
      </c>
      <c r="S17" s="3">
        <f>Table13[[#This Row],[Quantity]]*Table13[[#This Row],[UnitCost_NGN]]</f>
        <v>1323000</v>
      </c>
      <c r="T17" s="3">
        <f>Table13[[#This Row],[NetRevenue]]-Table13[[#This Row],[TotalCost]]</f>
        <v>113400</v>
      </c>
      <c r="U17" s="3"/>
      <c r="V17" s="12"/>
      <c r="W17" s="12"/>
      <c r="X17" s="12"/>
      <c r="Y17" s="12"/>
      <c r="Z17" s="12"/>
      <c r="AA17" s="12"/>
      <c r="AB17" s="12"/>
      <c r="AC17" s="12"/>
      <c r="AD17" s="12"/>
      <c r="AE17" s="12"/>
    </row>
    <row r="18" spans="1:31" x14ac:dyDescent="0.25">
      <c r="A18" t="s">
        <v>100</v>
      </c>
      <c r="B18" s="20">
        <v>45922</v>
      </c>
      <c r="C18" t="s">
        <v>18</v>
      </c>
      <c r="D18" t="s">
        <v>41</v>
      </c>
      <c r="E18" t="s">
        <v>42</v>
      </c>
      <c r="F18" t="s">
        <v>43</v>
      </c>
      <c r="G18" t="s">
        <v>44</v>
      </c>
      <c r="H18" t="s">
        <v>34</v>
      </c>
      <c r="I18" t="s">
        <v>102</v>
      </c>
      <c r="J18" t="s">
        <v>25</v>
      </c>
      <c r="K18">
        <v>3</v>
      </c>
      <c r="L18" s="3">
        <v>44100</v>
      </c>
      <c r="M18" s="3">
        <v>26000</v>
      </c>
      <c r="N18">
        <v>0.05</v>
      </c>
      <c r="O18" t="s">
        <v>52</v>
      </c>
      <c r="P18" t="s">
        <v>72</v>
      </c>
      <c r="Q18" s="3">
        <f>Table13[[#This Row],[Quantity]]*Table13[[#This Row],[UnitPrice_NGN]]</f>
        <v>132300</v>
      </c>
      <c r="R18" s="9">
        <f>Table13[[#This Row],[GrossRevenue]]*(1-Table13[[#This Row],[DiscountRate]])</f>
        <v>125685</v>
      </c>
      <c r="S18" s="3">
        <f>Table13[[#This Row],[Quantity]]*Table13[[#This Row],[UnitCost_NGN]]</f>
        <v>78000</v>
      </c>
      <c r="T18" s="3">
        <f>Table13[[#This Row],[NetRevenue]]-Table13[[#This Row],[TotalCost]]</f>
        <v>47685</v>
      </c>
      <c r="U18" s="3"/>
      <c r="V18" s="12"/>
      <c r="W18" s="12"/>
      <c r="X18" s="12"/>
      <c r="Y18" s="12"/>
      <c r="Z18" s="12"/>
      <c r="AA18" s="12"/>
      <c r="AB18" s="12"/>
      <c r="AC18" s="12"/>
      <c r="AD18" s="12"/>
      <c r="AE18" s="12"/>
    </row>
    <row r="19" spans="1:31" x14ac:dyDescent="0.25">
      <c r="A19" t="s">
        <v>103</v>
      </c>
      <c r="B19" s="20">
        <v>45694</v>
      </c>
      <c r="C19" t="s">
        <v>30</v>
      </c>
      <c r="D19" t="s">
        <v>31</v>
      </c>
      <c r="E19" t="s">
        <v>32</v>
      </c>
      <c r="F19" t="s">
        <v>21</v>
      </c>
      <c r="G19" t="s">
        <v>22</v>
      </c>
      <c r="H19" t="s">
        <v>34</v>
      </c>
      <c r="I19" t="s">
        <v>105</v>
      </c>
      <c r="J19" t="s">
        <v>71</v>
      </c>
      <c r="K19">
        <v>4</v>
      </c>
      <c r="L19" s="3">
        <v>166250</v>
      </c>
      <c r="M19" s="3">
        <v>120000</v>
      </c>
      <c r="N19">
        <v>0</v>
      </c>
      <c r="O19" t="s">
        <v>52</v>
      </c>
      <c r="P19" t="s">
        <v>27</v>
      </c>
      <c r="Q19" s="3">
        <f>Table13[[#This Row],[Quantity]]*Table13[[#This Row],[UnitPrice_NGN]]</f>
        <v>665000</v>
      </c>
      <c r="R19" s="9">
        <f>Table13[[#This Row],[GrossRevenue]]*(1-Table13[[#This Row],[DiscountRate]])</f>
        <v>665000</v>
      </c>
      <c r="S19" s="3">
        <f>Table13[[#This Row],[Quantity]]*Table13[[#This Row],[UnitCost_NGN]]</f>
        <v>480000</v>
      </c>
      <c r="T19" s="3">
        <f>Table13[[#This Row],[NetRevenue]]-Table13[[#This Row],[TotalCost]]</f>
        <v>185000</v>
      </c>
      <c r="U19" s="3"/>
      <c r="V19" s="12"/>
      <c r="W19" s="12"/>
      <c r="X19" s="12"/>
      <c r="Y19" s="12"/>
      <c r="Z19" s="12"/>
      <c r="AA19" s="12"/>
      <c r="AB19" s="12"/>
      <c r="AC19" s="12"/>
      <c r="AD19" s="12"/>
      <c r="AE19" s="12"/>
    </row>
    <row r="20" spans="1:31" x14ac:dyDescent="0.25">
      <c r="A20" t="s">
        <v>106</v>
      </c>
      <c r="B20" s="20">
        <v>45906</v>
      </c>
      <c r="C20" t="s">
        <v>30</v>
      </c>
      <c r="D20" t="s">
        <v>88</v>
      </c>
      <c r="E20" t="s">
        <v>89</v>
      </c>
      <c r="F20" t="s">
        <v>43</v>
      </c>
      <c r="G20" t="s">
        <v>44</v>
      </c>
      <c r="H20" t="s">
        <v>23</v>
      </c>
      <c r="I20" t="s">
        <v>35</v>
      </c>
      <c r="J20" t="s">
        <v>36</v>
      </c>
      <c r="K20">
        <v>1</v>
      </c>
      <c r="L20" s="3">
        <v>427500</v>
      </c>
      <c r="M20" s="3">
        <v>350000</v>
      </c>
      <c r="N20">
        <v>0.15</v>
      </c>
      <c r="O20" t="s">
        <v>37</v>
      </c>
      <c r="P20" t="s">
        <v>48</v>
      </c>
      <c r="Q20" s="3">
        <f>Table13[[#This Row],[Quantity]]*Table13[[#This Row],[UnitPrice_NGN]]</f>
        <v>427500</v>
      </c>
      <c r="R20" s="9">
        <f>Table13[[#This Row],[GrossRevenue]]*(1-Table13[[#This Row],[DiscountRate]])</f>
        <v>363375</v>
      </c>
      <c r="S20" s="3">
        <f>Table13[[#This Row],[Quantity]]*Table13[[#This Row],[UnitCost_NGN]]</f>
        <v>350000</v>
      </c>
      <c r="T20" s="3">
        <f>Table13[[#This Row],[NetRevenue]]-Table13[[#This Row],[TotalCost]]</f>
        <v>13375</v>
      </c>
      <c r="U20" s="3"/>
      <c r="V20" s="12"/>
      <c r="W20" s="12"/>
      <c r="X20" s="12"/>
      <c r="Y20" s="12"/>
      <c r="Z20" s="12"/>
      <c r="AA20" s="12"/>
      <c r="AB20" s="12"/>
      <c r="AC20" s="12"/>
      <c r="AD20" s="12"/>
      <c r="AE20" s="12"/>
    </row>
    <row r="21" spans="1:31" x14ac:dyDescent="0.25">
      <c r="A21" t="s">
        <v>108</v>
      </c>
      <c r="B21" s="20">
        <v>45995</v>
      </c>
      <c r="C21" t="s">
        <v>40</v>
      </c>
      <c r="D21" t="s">
        <v>110</v>
      </c>
      <c r="E21" t="s">
        <v>111</v>
      </c>
      <c r="F21" t="s">
        <v>85</v>
      </c>
      <c r="G21" t="s">
        <v>33</v>
      </c>
      <c r="H21" t="s">
        <v>112</v>
      </c>
      <c r="I21" t="s">
        <v>113</v>
      </c>
      <c r="J21" t="s">
        <v>36</v>
      </c>
      <c r="K21">
        <v>6</v>
      </c>
      <c r="L21" s="3">
        <v>152000</v>
      </c>
      <c r="M21" s="3">
        <v>109250</v>
      </c>
      <c r="N21">
        <v>0</v>
      </c>
      <c r="O21" t="s">
        <v>37</v>
      </c>
      <c r="P21" t="s">
        <v>72</v>
      </c>
      <c r="Q21" s="3">
        <f>Table13[[#This Row],[Quantity]]*Table13[[#This Row],[UnitPrice_NGN]]</f>
        <v>912000</v>
      </c>
      <c r="R21" s="9">
        <f>Table13[[#This Row],[GrossRevenue]]*(1-Table13[[#This Row],[DiscountRate]])</f>
        <v>912000</v>
      </c>
      <c r="S21" s="3">
        <f>Table13[[#This Row],[Quantity]]*Table13[[#This Row],[UnitCost_NGN]]</f>
        <v>655500</v>
      </c>
      <c r="T21" s="3">
        <f>Table13[[#This Row],[NetRevenue]]-Table13[[#This Row],[TotalCost]]</f>
        <v>256500</v>
      </c>
      <c r="U21" s="3"/>
      <c r="V21" s="12"/>
      <c r="W21" s="12"/>
      <c r="X21" s="12"/>
      <c r="Y21" s="12"/>
      <c r="Z21" s="12"/>
      <c r="AA21" s="12"/>
      <c r="AB21" s="12"/>
      <c r="AC21" s="12"/>
      <c r="AD21" s="12"/>
      <c r="AE21" s="12"/>
    </row>
    <row r="22" spans="1:31" ht="15" customHeight="1" x14ac:dyDescent="0.25">
      <c r="A22" t="s">
        <v>114</v>
      </c>
      <c r="B22" s="20">
        <v>45864</v>
      </c>
      <c r="C22" t="s">
        <v>40</v>
      </c>
      <c r="D22" t="s">
        <v>31</v>
      </c>
      <c r="E22" t="s">
        <v>32</v>
      </c>
      <c r="F22" t="s">
        <v>21</v>
      </c>
      <c r="G22" t="s">
        <v>22</v>
      </c>
      <c r="H22" t="s">
        <v>34</v>
      </c>
      <c r="I22" t="s">
        <v>102</v>
      </c>
      <c r="J22" t="s">
        <v>25</v>
      </c>
      <c r="K22">
        <v>5</v>
      </c>
      <c r="L22" s="3">
        <v>44100</v>
      </c>
      <c r="M22" s="3">
        <v>24700</v>
      </c>
      <c r="N22">
        <v>0</v>
      </c>
      <c r="O22" t="s">
        <v>64</v>
      </c>
      <c r="P22" t="s">
        <v>27</v>
      </c>
      <c r="Q22" s="3">
        <f>Table13[[#This Row],[Quantity]]*Table13[[#This Row],[UnitPrice_NGN]]</f>
        <v>220500</v>
      </c>
      <c r="R22" s="9">
        <f>Table13[[#This Row],[GrossRevenue]]*(1-Table13[[#This Row],[DiscountRate]])</f>
        <v>220500</v>
      </c>
      <c r="S22" s="3">
        <f>Table13[[#This Row],[Quantity]]*Table13[[#This Row],[UnitCost_NGN]]</f>
        <v>123500</v>
      </c>
      <c r="T22" s="3">
        <f>Table13[[#This Row],[NetRevenue]]-Table13[[#This Row],[TotalCost]]</f>
        <v>97000</v>
      </c>
      <c r="U22" s="3"/>
      <c r="V22" s="12"/>
      <c r="W22" s="12"/>
      <c r="X22" s="12"/>
      <c r="Y22" s="12"/>
      <c r="Z22" s="12"/>
      <c r="AA22" s="12"/>
      <c r="AB22" s="12"/>
      <c r="AC22" s="12"/>
      <c r="AD22" s="12"/>
      <c r="AE22" s="12"/>
    </row>
    <row r="23" spans="1:31" x14ac:dyDescent="0.25">
      <c r="A23" t="s">
        <v>116</v>
      </c>
      <c r="B23" s="20">
        <v>45894</v>
      </c>
      <c r="C23" t="s">
        <v>18</v>
      </c>
      <c r="D23" t="s">
        <v>78</v>
      </c>
      <c r="E23" t="s">
        <v>79</v>
      </c>
      <c r="F23" t="s">
        <v>80</v>
      </c>
      <c r="G23" t="s">
        <v>33</v>
      </c>
      <c r="H23" t="s">
        <v>23</v>
      </c>
      <c r="I23" t="s">
        <v>113</v>
      </c>
      <c r="J23" t="s">
        <v>36</v>
      </c>
      <c r="K23">
        <v>3</v>
      </c>
      <c r="L23" s="3">
        <v>160000</v>
      </c>
      <c r="M23" s="3">
        <v>115000</v>
      </c>
      <c r="N23">
        <v>0</v>
      </c>
      <c r="O23" t="s">
        <v>52</v>
      </c>
      <c r="P23" t="s">
        <v>48</v>
      </c>
      <c r="Q23" s="3">
        <f>Table13[[#This Row],[Quantity]]*Table13[[#This Row],[UnitPrice_NGN]]</f>
        <v>480000</v>
      </c>
      <c r="R23" s="9">
        <f>Table13[[#This Row],[GrossRevenue]]*(1-Table13[[#This Row],[DiscountRate]])</f>
        <v>480000</v>
      </c>
      <c r="S23" s="3">
        <f>Table13[[#This Row],[Quantity]]*Table13[[#This Row],[UnitCost_NGN]]</f>
        <v>345000</v>
      </c>
      <c r="T23" s="3">
        <f>Table13[[#This Row],[NetRevenue]]-Table13[[#This Row],[TotalCost]]</f>
        <v>135000</v>
      </c>
      <c r="U23" s="3"/>
      <c r="V23" s="12"/>
      <c r="W23" s="12"/>
      <c r="X23" s="12"/>
      <c r="Y23" s="12"/>
      <c r="Z23" s="12"/>
      <c r="AA23" s="12"/>
      <c r="AB23" s="12"/>
      <c r="AC23" s="12"/>
      <c r="AD23" s="12"/>
      <c r="AE23" s="12"/>
    </row>
    <row r="24" spans="1:31" x14ac:dyDescent="0.25">
      <c r="A24" t="s">
        <v>118</v>
      </c>
      <c r="B24" s="20">
        <v>45779</v>
      </c>
      <c r="C24" t="s">
        <v>40</v>
      </c>
      <c r="D24" t="s">
        <v>120</v>
      </c>
      <c r="E24" t="s">
        <v>121</v>
      </c>
      <c r="F24" t="s">
        <v>122</v>
      </c>
      <c r="G24" t="s">
        <v>33</v>
      </c>
      <c r="H24" t="s">
        <v>112</v>
      </c>
      <c r="I24" t="s">
        <v>35</v>
      </c>
      <c r="J24" t="s">
        <v>36</v>
      </c>
      <c r="K24">
        <v>15</v>
      </c>
      <c r="L24" s="3">
        <v>495000</v>
      </c>
      <c r="M24" s="3">
        <v>332500</v>
      </c>
      <c r="N24">
        <v>0</v>
      </c>
      <c r="O24" t="s">
        <v>64</v>
      </c>
      <c r="P24" t="s">
        <v>48</v>
      </c>
      <c r="Q24" s="3">
        <f>Table13[[#This Row],[Quantity]]*Table13[[#This Row],[UnitPrice_NGN]]</f>
        <v>7425000</v>
      </c>
      <c r="R24" s="9">
        <f>Table13[[#This Row],[GrossRevenue]]*(1-Table13[[#This Row],[DiscountRate]])</f>
        <v>7425000</v>
      </c>
      <c r="S24" s="3">
        <f>Table13[[#This Row],[Quantity]]*Table13[[#This Row],[UnitCost_NGN]]</f>
        <v>4987500</v>
      </c>
      <c r="T24" s="3">
        <f>Table13[[#This Row],[NetRevenue]]-Table13[[#This Row],[TotalCost]]</f>
        <v>2437500</v>
      </c>
      <c r="U24" s="3"/>
      <c r="V24" s="12"/>
      <c r="W24" s="12"/>
      <c r="X24" s="12"/>
      <c r="Y24" s="12"/>
      <c r="Z24" s="12"/>
      <c r="AA24" s="12"/>
      <c r="AB24" s="12"/>
      <c r="AC24" s="12"/>
      <c r="AD24" s="12"/>
      <c r="AE24" s="12"/>
    </row>
    <row r="25" spans="1:31" x14ac:dyDescent="0.25">
      <c r="A25" t="s">
        <v>123</v>
      </c>
      <c r="B25" s="20">
        <v>45890</v>
      </c>
      <c r="C25" t="s">
        <v>40</v>
      </c>
      <c r="D25" t="s">
        <v>31</v>
      </c>
      <c r="E25" t="s">
        <v>32</v>
      </c>
      <c r="F25" t="s">
        <v>21</v>
      </c>
      <c r="G25" t="s">
        <v>33</v>
      </c>
      <c r="H25" t="s">
        <v>34</v>
      </c>
      <c r="I25" t="s">
        <v>55</v>
      </c>
      <c r="J25" t="s">
        <v>56</v>
      </c>
      <c r="K25">
        <v>1</v>
      </c>
      <c r="L25" s="3">
        <v>43200</v>
      </c>
      <c r="M25" s="3">
        <v>31500</v>
      </c>
      <c r="N25">
        <v>0</v>
      </c>
      <c r="O25" t="s">
        <v>64</v>
      </c>
      <c r="P25" t="s">
        <v>48</v>
      </c>
      <c r="Q25" s="3">
        <f>Table13[[#This Row],[Quantity]]*Table13[[#This Row],[UnitPrice_NGN]]</f>
        <v>43200</v>
      </c>
      <c r="R25" s="9">
        <f>Table13[[#This Row],[GrossRevenue]]*(1-Table13[[#This Row],[DiscountRate]])</f>
        <v>43200</v>
      </c>
      <c r="S25" s="3">
        <f>Table13[[#This Row],[Quantity]]*Table13[[#This Row],[UnitCost_NGN]]</f>
        <v>31500</v>
      </c>
      <c r="T25" s="3">
        <f>Table13[[#This Row],[NetRevenue]]-Table13[[#This Row],[TotalCost]]</f>
        <v>11700</v>
      </c>
      <c r="U25" s="3"/>
      <c r="V25" s="12"/>
      <c r="W25" s="12"/>
      <c r="X25" s="12"/>
      <c r="Y25" s="12"/>
      <c r="Z25" s="12"/>
      <c r="AA25" s="12"/>
      <c r="AB25" s="12"/>
      <c r="AC25" s="12"/>
      <c r="AD25" s="12"/>
      <c r="AE25" s="12"/>
    </row>
    <row r="26" spans="1:31" x14ac:dyDescent="0.25">
      <c r="A26" t="s">
        <v>125</v>
      </c>
      <c r="B26" s="20">
        <v>45818</v>
      </c>
      <c r="C26" t="s">
        <v>18</v>
      </c>
      <c r="D26" t="s">
        <v>60</v>
      </c>
      <c r="E26" t="s">
        <v>61</v>
      </c>
      <c r="F26" t="s">
        <v>43</v>
      </c>
      <c r="G26" t="s">
        <v>33</v>
      </c>
      <c r="H26" t="s">
        <v>23</v>
      </c>
      <c r="I26" t="s">
        <v>70</v>
      </c>
      <c r="J26" t="s">
        <v>71</v>
      </c>
      <c r="K26">
        <v>12</v>
      </c>
      <c r="L26" s="3">
        <v>95000</v>
      </c>
      <c r="M26" s="3">
        <v>58900</v>
      </c>
      <c r="N26">
        <v>0.15</v>
      </c>
      <c r="O26" t="s">
        <v>90</v>
      </c>
      <c r="P26" t="s">
        <v>48</v>
      </c>
      <c r="Q26" s="3">
        <f>Table13[[#This Row],[Quantity]]*Table13[[#This Row],[UnitPrice_NGN]]</f>
        <v>1140000</v>
      </c>
      <c r="R26" s="9">
        <f>Table13[[#This Row],[GrossRevenue]]*(1-Table13[[#This Row],[DiscountRate]])</f>
        <v>969000</v>
      </c>
      <c r="S26" s="3">
        <f>Table13[[#This Row],[Quantity]]*Table13[[#This Row],[UnitCost_NGN]]</f>
        <v>706800</v>
      </c>
      <c r="T26" s="3">
        <f>Table13[[#This Row],[NetRevenue]]-Table13[[#This Row],[TotalCost]]</f>
        <v>262200</v>
      </c>
      <c r="U26" s="3"/>
      <c r="V26" s="12"/>
      <c r="W26" s="12"/>
      <c r="X26" s="12"/>
      <c r="Y26" s="12"/>
      <c r="Z26" s="12"/>
      <c r="AA26" s="12"/>
      <c r="AB26" s="12"/>
      <c r="AC26" s="12"/>
      <c r="AD26" s="12"/>
      <c r="AE26" s="12"/>
    </row>
    <row r="27" spans="1:31" x14ac:dyDescent="0.25">
      <c r="A27" t="s">
        <v>127</v>
      </c>
      <c r="B27" s="20">
        <v>45692</v>
      </c>
      <c r="C27" t="s">
        <v>18</v>
      </c>
      <c r="D27" t="s">
        <v>78</v>
      </c>
      <c r="E27" t="s">
        <v>79</v>
      </c>
      <c r="F27" t="s">
        <v>80</v>
      </c>
      <c r="G27" t="s">
        <v>33</v>
      </c>
      <c r="H27" t="s">
        <v>96</v>
      </c>
      <c r="I27" t="s">
        <v>35</v>
      </c>
      <c r="J27" t="s">
        <v>36</v>
      </c>
      <c r="K27">
        <v>1</v>
      </c>
      <c r="L27" s="3">
        <v>427500</v>
      </c>
      <c r="M27" s="3">
        <v>332500</v>
      </c>
      <c r="N27">
        <v>0.1</v>
      </c>
      <c r="O27" t="s">
        <v>64</v>
      </c>
      <c r="P27" t="s">
        <v>27</v>
      </c>
      <c r="Q27" s="3">
        <f>Table13[[#This Row],[Quantity]]*Table13[[#This Row],[UnitPrice_NGN]]</f>
        <v>427500</v>
      </c>
      <c r="R27" s="9">
        <f>Table13[[#This Row],[GrossRevenue]]*(1-Table13[[#This Row],[DiscountRate]])</f>
        <v>384750</v>
      </c>
      <c r="S27" s="3">
        <f>Table13[[#This Row],[Quantity]]*Table13[[#This Row],[UnitCost_NGN]]</f>
        <v>332500</v>
      </c>
      <c r="T27" s="3">
        <f>Table13[[#This Row],[NetRevenue]]-Table13[[#This Row],[TotalCost]]</f>
        <v>52250</v>
      </c>
      <c r="U27" s="3"/>
      <c r="V27" s="12"/>
      <c r="W27" s="12"/>
      <c r="X27" s="12"/>
      <c r="Y27" s="12"/>
      <c r="Z27" s="12"/>
      <c r="AA27" s="12"/>
      <c r="AB27" s="12"/>
      <c r="AC27" s="12"/>
      <c r="AD27" s="12"/>
      <c r="AE27" s="12"/>
    </row>
    <row r="28" spans="1:31" x14ac:dyDescent="0.25">
      <c r="A28" t="s">
        <v>129</v>
      </c>
      <c r="B28" s="20">
        <v>45956</v>
      </c>
      <c r="C28" t="s">
        <v>30</v>
      </c>
      <c r="D28" t="s">
        <v>131</v>
      </c>
      <c r="E28" t="s">
        <v>132</v>
      </c>
      <c r="F28" t="s">
        <v>80</v>
      </c>
      <c r="G28" t="s">
        <v>62</v>
      </c>
      <c r="H28" t="s">
        <v>63</v>
      </c>
      <c r="I28" t="s">
        <v>45</v>
      </c>
      <c r="J28" t="s">
        <v>46</v>
      </c>
      <c r="K28">
        <v>1</v>
      </c>
      <c r="L28" s="3">
        <v>16650</v>
      </c>
      <c r="M28" s="3">
        <v>15225</v>
      </c>
      <c r="N28">
        <v>0.15</v>
      </c>
      <c r="O28" t="s">
        <v>64</v>
      </c>
      <c r="P28" t="s">
        <v>133</v>
      </c>
      <c r="Q28" s="3">
        <f>Table13[[#This Row],[Quantity]]*Table13[[#This Row],[UnitPrice_NGN]]</f>
        <v>16650</v>
      </c>
      <c r="R28" s="9">
        <f>Table13[[#This Row],[GrossRevenue]]*(1-Table13[[#This Row],[DiscountRate]])</f>
        <v>14152.5</v>
      </c>
      <c r="S28" s="3">
        <f>Table13[[#This Row],[Quantity]]*Table13[[#This Row],[UnitCost_NGN]]</f>
        <v>15225</v>
      </c>
      <c r="T28" s="3">
        <f>Table13[[#This Row],[NetRevenue]]-Table13[[#This Row],[TotalCost]]</f>
        <v>-1072.5</v>
      </c>
      <c r="U28" s="3"/>
    </row>
    <row r="29" spans="1:31" x14ac:dyDescent="0.25">
      <c r="A29" t="s">
        <v>134</v>
      </c>
      <c r="B29" s="20">
        <v>46001</v>
      </c>
      <c r="C29" t="s">
        <v>40</v>
      </c>
      <c r="D29" t="s">
        <v>136</v>
      </c>
      <c r="E29" t="s">
        <v>137</v>
      </c>
      <c r="F29" t="s">
        <v>122</v>
      </c>
      <c r="G29" t="s">
        <v>33</v>
      </c>
      <c r="H29" t="s">
        <v>63</v>
      </c>
      <c r="I29" t="s">
        <v>24</v>
      </c>
      <c r="J29" t="s">
        <v>25</v>
      </c>
      <c r="K29">
        <v>2</v>
      </c>
      <c r="L29" s="3">
        <v>22000</v>
      </c>
      <c r="M29" s="3">
        <v>13650</v>
      </c>
      <c r="N29">
        <v>0</v>
      </c>
      <c r="O29" t="s">
        <v>52</v>
      </c>
      <c r="P29" t="s">
        <v>27</v>
      </c>
      <c r="Q29" s="3">
        <f>Table13[[#This Row],[Quantity]]*Table13[[#This Row],[UnitPrice_NGN]]</f>
        <v>44000</v>
      </c>
      <c r="R29" s="9">
        <f>Table13[[#This Row],[GrossRevenue]]*(1-Table13[[#This Row],[DiscountRate]])</f>
        <v>44000</v>
      </c>
      <c r="S29" s="3">
        <f>Table13[[#This Row],[Quantity]]*Table13[[#This Row],[UnitCost_NGN]]</f>
        <v>27300</v>
      </c>
      <c r="T29" s="3">
        <f>Table13[[#This Row],[NetRevenue]]-Table13[[#This Row],[TotalCost]]</f>
        <v>16700</v>
      </c>
      <c r="U29" s="3"/>
    </row>
    <row r="30" spans="1:31" x14ac:dyDescent="0.25">
      <c r="A30" t="s">
        <v>138</v>
      </c>
      <c r="B30" s="20">
        <v>45933</v>
      </c>
      <c r="C30" t="s">
        <v>30</v>
      </c>
      <c r="D30" t="s">
        <v>110</v>
      </c>
      <c r="E30" t="s">
        <v>111</v>
      </c>
      <c r="F30" t="s">
        <v>85</v>
      </c>
      <c r="G30" t="s">
        <v>62</v>
      </c>
      <c r="H30" t="s">
        <v>34</v>
      </c>
      <c r="I30" t="s">
        <v>35</v>
      </c>
      <c r="J30" t="s">
        <v>36</v>
      </c>
      <c r="K30">
        <v>4</v>
      </c>
      <c r="L30" s="3">
        <v>450000</v>
      </c>
      <c r="M30" s="3">
        <v>332500</v>
      </c>
      <c r="N30">
        <v>0</v>
      </c>
      <c r="O30" t="s">
        <v>47</v>
      </c>
      <c r="P30" t="s">
        <v>48</v>
      </c>
      <c r="Q30" s="3">
        <f>Table13[[#This Row],[Quantity]]*Table13[[#This Row],[UnitPrice_NGN]]</f>
        <v>1800000</v>
      </c>
      <c r="R30" s="9">
        <f>Table13[[#This Row],[GrossRevenue]]*(1-Table13[[#This Row],[DiscountRate]])</f>
        <v>1800000</v>
      </c>
      <c r="S30" s="3">
        <f>Table13[[#This Row],[Quantity]]*Table13[[#This Row],[UnitCost_NGN]]</f>
        <v>1330000</v>
      </c>
      <c r="T30" s="3">
        <f>Table13[[#This Row],[NetRevenue]]-Table13[[#This Row],[TotalCost]]</f>
        <v>470000</v>
      </c>
      <c r="U30" s="3"/>
    </row>
    <row r="31" spans="1:31" x14ac:dyDescent="0.25">
      <c r="A31" t="s">
        <v>140</v>
      </c>
      <c r="B31" s="20">
        <v>46018</v>
      </c>
      <c r="C31" t="s">
        <v>30</v>
      </c>
      <c r="D31" t="s">
        <v>60</v>
      </c>
      <c r="E31" t="s">
        <v>61</v>
      </c>
      <c r="F31" t="s">
        <v>43</v>
      </c>
      <c r="G31" t="s">
        <v>22</v>
      </c>
      <c r="H31" t="s">
        <v>23</v>
      </c>
      <c r="I31" t="s">
        <v>51</v>
      </c>
      <c r="J31" t="s">
        <v>36</v>
      </c>
      <c r="K31">
        <v>3</v>
      </c>
      <c r="L31" s="3">
        <v>266000</v>
      </c>
      <c r="M31" s="3">
        <v>220500</v>
      </c>
      <c r="N31">
        <v>0.1</v>
      </c>
      <c r="O31" t="s">
        <v>57</v>
      </c>
      <c r="P31" t="s">
        <v>48</v>
      </c>
      <c r="Q31" s="3">
        <f>Table13[[#This Row],[Quantity]]*Table13[[#This Row],[UnitPrice_NGN]]</f>
        <v>798000</v>
      </c>
      <c r="R31" s="9">
        <f>Table13[[#This Row],[GrossRevenue]]*(1-Table13[[#This Row],[DiscountRate]])</f>
        <v>718200</v>
      </c>
      <c r="S31" s="3">
        <f>Table13[[#This Row],[Quantity]]*Table13[[#This Row],[UnitCost_NGN]]</f>
        <v>661500</v>
      </c>
      <c r="T31" s="3">
        <f>Table13[[#This Row],[NetRevenue]]-Table13[[#This Row],[TotalCost]]</f>
        <v>56700</v>
      </c>
      <c r="U31" s="3"/>
    </row>
    <row r="32" spans="1:31" x14ac:dyDescent="0.25">
      <c r="A32" t="s">
        <v>142</v>
      </c>
      <c r="B32" s="20">
        <v>45712</v>
      </c>
      <c r="C32" t="s">
        <v>30</v>
      </c>
      <c r="D32" t="s">
        <v>19</v>
      </c>
      <c r="E32" t="s">
        <v>20</v>
      </c>
      <c r="F32" t="s">
        <v>21</v>
      </c>
      <c r="G32" t="s">
        <v>44</v>
      </c>
      <c r="H32" t="s">
        <v>63</v>
      </c>
      <c r="I32" t="s">
        <v>24</v>
      </c>
      <c r="J32" t="s">
        <v>25</v>
      </c>
      <c r="K32">
        <v>12</v>
      </c>
      <c r="L32" s="3">
        <v>20900</v>
      </c>
      <c r="M32" s="3">
        <v>13000</v>
      </c>
      <c r="N32">
        <v>0</v>
      </c>
      <c r="O32" t="s">
        <v>57</v>
      </c>
      <c r="P32" t="s">
        <v>27</v>
      </c>
      <c r="Q32" s="3">
        <f>Table13[[#This Row],[Quantity]]*Table13[[#This Row],[UnitPrice_NGN]]</f>
        <v>250800</v>
      </c>
      <c r="R32" s="9">
        <f>Table13[[#This Row],[GrossRevenue]]*(1-Table13[[#This Row],[DiscountRate]])</f>
        <v>250800</v>
      </c>
      <c r="S32" s="3">
        <f>Table13[[#This Row],[Quantity]]*Table13[[#This Row],[UnitCost_NGN]]</f>
        <v>156000</v>
      </c>
      <c r="T32" s="3">
        <f>Table13[[#This Row],[NetRevenue]]-Table13[[#This Row],[TotalCost]]</f>
        <v>94800</v>
      </c>
      <c r="U32" s="3"/>
    </row>
    <row r="33" spans="1:21" x14ac:dyDescent="0.25">
      <c r="A33" t="s">
        <v>144</v>
      </c>
      <c r="B33" s="20">
        <v>45908</v>
      </c>
      <c r="C33" t="s">
        <v>18</v>
      </c>
      <c r="D33" t="s">
        <v>60</v>
      </c>
      <c r="E33" t="s">
        <v>61</v>
      </c>
      <c r="F33" t="s">
        <v>43</v>
      </c>
      <c r="G33" t="s">
        <v>22</v>
      </c>
      <c r="H33" t="s">
        <v>112</v>
      </c>
      <c r="I33" t="s">
        <v>45</v>
      </c>
      <c r="J33" t="s">
        <v>46</v>
      </c>
      <c r="K33">
        <v>5</v>
      </c>
      <c r="L33" s="3">
        <v>17575</v>
      </c>
      <c r="M33" s="3">
        <v>14500</v>
      </c>
      <c r="N33">
        <v>0.1</v>
      </c>
      <c r="O33" t="s">
        <v>57</v>
      </c>
      <c r="P33" t="s">
        <v>48</v>
      </c>
      <c r="Q33" s="3">
        <f>Table13[[#This Row],[Quantity]]*Table13[[#This Row],[UnitPrice_NGN]]</f>
        <v>87875</v>
      </c>
      <c r="R33" s="9">
        <f>Table13[[#This Row],[GrossRevenue]]*(1-Table13[[#This Row],[DiscountRate]])</f>
        <v>79087.5</v>
      </c>
      <c r="S33" s="3">
        <f>Table13[[#This Row],[Quantity]]*Table13[[#This Row],[UnitCost_NGN]]</f>
        <v>72500</v>
      </c>
      <c r="T33" s="3">
        <f>Table13[[#This Row],[NetRevenue]]-Table13[[#This Row],[TotalCost]]</f>
        <v>6587.5</v>
      </c>
      <c r="U33" s="3"/>
    </row>
    <row r="34" spans="1:21" x14ac:dyDescent="0.25">
      <c r="A34" t="s">
        <v>146</v>
      </c>
      <c r="B34" s="20">
        <v>45884</v>
      </c>
      <c r="C34" t="s">
        <v>30</v>
      </c>
      <c r="D34" t="s">
        <v>31</v>
      </c>
      <c r="E34" t="s">
        <v>32</v>
      </c>
      <c r="F34" t="s">
        <v>21</v>
      </c>
      <c r="G34" t="s">
        <v>33</v>
      </c>
      <c r="H34" t="s">
        <v>23</v>
      </c>
      <c r="I34" t="s">
        <v>35</v>
      </c>
      <c r="J34" t="s">
        <v>36</v>
      </c>
      <c r="K34">
        <v>2</v>
      </c>
      <c r="L34" s="3">
        <v>427500</v>
      </c>
      <c r="M34" s="3">
        <v>350000</v>
      </c>
      <c r="N34">
        <v>0</v>
      </c>
      <c r="O34" t="s">
        <v>148</v>
      </c>
      <c r="P34" t="s">
        <v>133</v>
      </c>
      <c r="Q34" s="3">
        <f>Table13[[#This Row],[Quantity]]*Table13[[#This Row],[UnitPrice_NGN]]</f>
        <v>855000</v>
      </c>
      <c r="R34" s="9">
        <f>Table13[[#This Row],[GrossRevenue]]*(1-Table13[[#This Row],[DiscountRate]])</f>
        <v>855000</v>
      </c>
      <c r="S34" s="3">
        <f>Table13[[#This Row],[Quantity]]*Table13[[#This Row],[UnitCost_NGN]]</f>
        <v>700000</v>
      </c>
      <c r="T34" s="3">
        <f>Table13[[#This Row],[NetRevenue]]-Table13[[#This Row],[TotalCost]]</f>
        <v>155000</v>
      </c>
      <c r="U34" s="3"/>
    </row>
    <row r="35" spans="1:21" x14ac:dyDescent="0.25">
      <c r="A35" t="s">
        <v>149</v>
      </c>
      <c r="B35" s="20">
        <v>45676</v>
      </c>
      <c r="C35" t="s">
        <v>30</v>
      </c>
      <c r="D35" t="s">
        <v>19</v>
      </c>
      <c r="E35" t="s">
        <v>20</v>
      </c>
      <c r="F35" t="s">
        <v>21</v>
      </c>
      <c r="G35" t="s">
        <v>44</v>
      </c>
      <c r="H35" t="s">
        <v>112</v>
      </c>
      <c r="I35" t="s">
        <v>51</v>
      </c>
      <c r="J35" t="s">
        <v>36</v>
      </c>
      <c r="K35">
        <v>12</v>
      </c>
      <c r="L35" s="3">
        <v>294000</v>
      </c>
      <c r="M35" s="3">
        <v>210000</v>
      </c>
      <c r="N35">
        <v>0.1</v>
      </c>
      <c r="O35" t="s">
        <v>90</v>
      </c>
      <c r="P35" t="s">
        <v>48</v>
      </c>
      <c r="Q35" s="3">
        <f>Table13[[#This Row],[Quantity]]*Table13[[#This Row],[UnitPrice_NGN]]</f>
        <v>3528000</v>
      </c>
      <c r="R35" s="9">
        <f>Table13[[#This Row],[GrossRevenue]]*(1-Table13[[#This Row],[DiscountRate]])</f>
        <v>3175200</v>
      </c>
      <c r="S35" s="3">
        <f>Table13[[#This Row],[Quantity]]*Table13[[#This Row],[UnitCost_NGN]]</f>
        <v>2520000</v>
      </c>
      <c r="T35" s="3">
        <f>Table13[[#This Row],[NetRevenue]]-Table13[[#This Row],[TotalCost]]</f>
        <v>655200</v>
      </c>
      <c r="U35" s="3"/>
    </row>
    <row r="36" spans="1:21" x14ac:dyDescent="0.25">
      <c r="A36" t="s">
        <v>151</v>
      </c>
      <c r="B36" s="20">
        <v>45765</v>
      </c>
      <c r="C36" t="s">
        <v>18</v>
      </c>
      <c r="D36" t="s">
        <v>41</v>
      </c>
      <c r="E36" t="s">
        <v>42</v>
      </c>
      <c r="F36" t="s">
        <v>43</v>
      </c>
      <c r="G36" t="s">
        <v>22</v>
      </c>
      <c r="H36" t="s">
        <v>63</v>
      </c>
      <c r="I36" t="s">
        <v>35</v>
      </c>
      <c r="J36" t="s">
        <v>36</v>
      </c>
      <c r="K36">
        <v>3</v>
      </c>
      <c r="L36" s="3">
        <v>495000</v>
      </c>
      <c r="M36" s="3">
        <v>332500</v>
      </c>
      <c r="N36">
        <v>0</v>
      </c>
      <c r="O36" t="s">
        <v>26</v>
      </c>
      <c r="P36" t="s">
        <v>27</v>
      </c>
      <c r="Q36" s="3">
        <f>Table13[[#This Row],[Quantity]]*Table13[[#This Row],[UnitPrice_NGN]]</f>
        <v>1485000</v>
      </c>
      <c r="R36" s="9">
        <f>Table13[[#This Row],[GrossRevenue]]*(1-Table13[[#This Row],[DiscountRate]])</f>
        <v>1485000</v>
      </c>
      <c r="S36" s="3">
        <f>Table13[[#This Row],[Quantity]]*Table13[[#This Row],[UnitCost_NGN]]</f>
        <v>997500</v>
      </c>
      <c r="T36" s="3">
        <f>Table13[[#This Row],[NetRevenue]]-Table13[[#This Row],[TotalCost]]</f>
        <v>487500</v>
      </c>
      <c r="U36" s="3"/>
    </row>
    <row r="37" spans="1:21" x14ac:dyDescent="0.25">
      <c r="A37" t="s">
        <v>153</v>
      </c>
      <c r="B37" s="20">
        <v>45869</v>
      </c>
      <c r="C37" t="s">
        <v>18</v>
      </c>
      <c r="D37" t="s">
        <v>136</v>
      </c>
      <c r="E37" t="s">
        <v>137</v>
      </c>
      <c r="F37" t="s">
        <v>122</v>
      </c>
      <c r="G37" t="s">
        <v>62</v>
      </c>
      <c r="H37" t="s">
        <v>112</v>
      </c>
      <c r="I37" t="s">
        <v>45</v>
      </c>
      <c r="J37" t="s">
        <v>46</v>
      </c>
      <c r="K37">
        <v>1</v>
      </c>
      <c r="L37" s="3">
        <v>17575</v>
      </c>
      <c r="M37" s="3">
        <v>14500</v>
      </c>
      <c r="N37">
        <v>0</v>
      </c>
      <c r="O37" t="s">
        <v>64</v>
      </c>
      <c r="P37" t="s">
        <v>48</v>
      </c>
      <c r="Q37" s="3">
        <f>Table13[[#This Row],[Quantity]]*Table13[[#This Row],[UnitPrice_NGN]]</f>
        <v>17575</v>
      </c>
      <c r="R37" s="9">
        <f>Table13[[#This Row],[GrossRevenue]]*(1-Table13[[#This Row],[DiscountRate]])</f>
        <v>17575</v>
      </c>
      <c r="S37" s="3">
        <f>Table13[[#This Row],[Quantity]]*Table13[[#This Row],[UnitCost_NGN]]</f>
        <v>14500</v>
      </c>
      <c r="T37" s="3">
        <f>Table13[[#This Row],[NetRevenue]]-Table13[[#This Row],[TotalCost]]</f>
        <v>3075</v>
      </c>
      <c r="U37" s="3"/>
    </row>
    <row r="38" spans="1:21" x14ac:dyDescent="0.25">
      <c r="A38" t="s">
        <v>155</v>
      </c>
      <c r="B38" s="20">
        <v>45898</v>
      </c>
      <c r="C38" t="s">
        <v>18</v>
      </c>
      <c r="D38" t="s">
        <v>157</v>
      </c>
      <c r="E38" t="s">
        <v>158</v>
      </c>
      <c r="F38" t="s">
        <v>21</v>
      </c>
      <c r="G38" t="s">
        <v>33</v>
      </c>
      <c r="H38" t="s">
        <v>63</v>
      </c>
      <c r="I38" t="s">
        <v>70</v>
      </c>
      <c r="J38" t="s">
        <v>71</v>
      </c>
      <c r="K38">
        <v>6</v>
      </c>
      <c r="L38" s="3">
        <v>85500</v>
      </c>
      <c r="M38" s="3">
        <v>65100</v>
      </c>
      <c r="N38">
        <v>0</v>
      </c>
      <c r="O38" t="s">
        <v>57</v>
      </c>
      <c r="P38" t="s">
        <v>48</v>
      </c>
      <c r="Q38" s="3">
        <f>Table13[[#This Row],[Quantity]]*Table13[[#This Row],[UnitPrice_NGN]]</f>
        <v>513000</v>
      </c>
      <c r="R38" s="9">
        <f>Table13[[#This Row],[GrossRevenue]]*(1-Table13[[#This Row],[DiscountRate]])</f>
        <v>513000</v>
      </c>
      <c r="S38" s="3">
        <f>Table13[[#This Row],[Quantity]]*Table13[[#This Row],[UnitCost_NGN]]</f>
        <v>390600</v>
      </c>
      <c r="T38" s="3">
        <f>Table13[[#This Row],[NetRevenue]]-Table13[[#This Row],[TotalCost]]</f>
        <v>122400</v>
      </c>
      <c r="U38" s="3"/>
    </row>
    <row r="39" spans="1:21" x14ac:dyDescent="0.25">
      <c r="A39" t="s">
        <v>159</v>
      </c>
      <c r="B39" s="20">
        <v>45800</v>
      </c>
      <c r="C39" t="s">
        <v>40</v>
      </c>
      <c r="D39" t="s">
        <v>60</v>
      </c>
      <c r="E39" t="s">
        <v>61</v>
      </c>
      <c r="F39" t="s">
        <v>43</v>
      </c>
      <c r="G39" t="s">
        <v>62</v>
      </c>
      <c r="H39" t="s">
        <v>23</v>
      </c>
      <c r="I39" t="s">
        <v>113</v>
      </c>
      <c r="J39" t="s">
        <v>36</v>
      </c>
      <c r="K39">
        <v>1</v>
      </c>
      <c r="L39" s="3">
        <v>152000</v>
      </c>
      <c r="M39" s="3">
        <v>120750</v>
      </c>
      <c r="N39">
        <v>0</v>
      </c>
      <c r="O39" t="s">
        <v>26</v>
      </c>
      <c r="P39" t="s">
        <v>48</v>
      </c>
      <c r="Q39" s="3">
        <f>Table13[[#This Row],[Quantity]]*Table13[[#This Row],[UnitPrice_NGN]]</f>
        <v>152000</v>
      </c>
      <c r="R39" s="9">
        <f>Table13[[#This Row],[GrossRevenue]]*(1-Table13[[#This Row],[DiscountRate]])</f>
        <v>152000</v>
      </c>
      <c r="S39" s="3">
        <f>Table13[[#This Row],[Quantity]]*Table13[[#This Row],[UnitCost_NGN]]</f>
        <v>120750</v>
      </c>
      <c r="T39" s="3">
        <f>Table13[[#This Row],[NetRevenue]]-Table13[[#This Row],[TotalCost]]</f>
        <v>31250</v>
      </c>
      <c r="U39" s="3"/>
    </row>
    <row r="40" spans="1:21" x14ac:dyDescent="0.25">
      <c r="A40" t="s">
        <v>161</v>
      </c>
      <c r="B40" s="20">
        <v>45749</v>
      </c>
      <c r="C40" t="s">
        <v>40</v>
      </c>
      <c r="D40" t="s">
        <v>78</v>
      </c>
      <c r="E40" t="s">
        <v>79</v>
      </c>
      <c r="F40" t="s">
        <v>80</v>
      </c>
      <c r="G40" t="s">
        <v>22</v>
      </c>
      <c r="H40" t="s">
        <v>96</v>
      </c>
      <c r="I40" t="s">
        <v>24</v>
      </c>
      <c r="J40" t="s">
        <v>25</v>
      </c>
      <c r="K40">
        <v>2</v>
      </c>
      <c r="L40" s="3">
        <v>19800</v>
      </c>
      <c r="M40" s="3">
        <v>12350</v>
      </c>
      <c r="N40">
        <v>0</v>
      </c>
      <c r="O40" t="s">
        <v>26</v>
      </c>
      <c r="P40" t="s">
        <v>133</v>
      </c>
      <c r="Q40" s="3">
        <f>Table13[[#This Row],[Quantity]]*Table13[[#This Row],[UnitPrice_NGN]]</f>
        <v>39600</v>
      </c>
      <c r="R40" s="9">
        <f>Table13[[#This Row],[GrossRevenue]]*(1-Table13[[#This Row],[DiscountRate]])</f>
        <v>39600</v>
      </c>
      <c r="S40" s="3">
        <f>Table13[[#This Row],[Quantity]]*Table13[[#This Row],[UnitCost_NGN]]</f>
        <v>24700</v>
      </c>
      <c r="T40" s="3">
        <f>Table13[[#This Row],[NetRevenue]]-Table13[[#This Row],[TotalCost]]</f>
        <v>14900</v>
      </c>
      <c r="U40" s="3"/>
    </row>
    <row r="41" spans="1:21" x14ac:dyDescent="0.25">
      <c r="A41" t="s">
        <v>163</v>
      </c>
      <c r="B41" s="20">
        <v>45953</v>
      </c>
      <c r="C41" t="s">
        <v>40</v>
      </c>
      <c r="D41" t="s">
        <v>136</v>
      </c>
      <c r="E41" t="s">
        <v>137</v>
      </c>
      <c r="F41" t="s">
        <v>122</v>
      </c>
      <c r="G41" t="s">
        <v>22</v>
      </c>
      <c r="H41" t="s">
        <v>112</v>
      </c>
      <c r="I41" t="s">
        <v>105</v>
      </c>
      <c r="J41" t="s">
        <v>71</v>
      </c>
      <c r="K41">
        <v>6</v>
      </c>
      <c r="L41" s="3">
        <v>175000</v>
      </c>
      <c r="M41" s="3">
        <v>114000</v>
      </c>
      <c r="N41">
        <v>0.05</v>
      </c>
      <c r="O41" t="s">
        <v>148</v>
      </c>
      <c r="P41" t="s">
        <v>48</v>
      </c>
      <c r="Q41" s="3">
        <f>Table13[[#This Row],[Quantity]]*Table13[[#This Row],[UnitPrice_NGN]]</f>
        <v>1050000</v>
      </c>
      <c r="R41" s="9">
        <f>Table13[[#This Row],[GrossRevenue]]*(1-Table13[[#This Row],[DiscountRate]])</f>
        <v>997500</v>
      </c>
      <c r="S41" s="3">
        <f>Table13[[#This Row],[Quantity]]*Table13[[#This Row],[UnitCost_NGN]]</f>
        <v>684000</v>
      </c>
      <c r="T41" s="3">
        <f>Table13[[#This Row],[NetRevenue]]-Table13[[#This Row],[TotalCost]]</f>
        <v>313500</v>
      </c>
      <c r="U41" s="3"/>
    </row>
    <row r="42" spans="1:21" x14ac:dyDescent="0.25">
      <c r="A42" t="s">
        <v>165</v>
      </c>
      <c r="B42" s="20">
        <v>45878</v>
      </c>
      <c r="C42" t="s">
        <v>30</v>
      </c>
      <c r="D42" t="s">
        <v>78</v>
      </c>
      <c r="E42" t="s">
        <v>79</v>
      </c>
      <c r="F42" t="s">
        <v>80</v>
      </c>
      <c r="G42" t="s">
        <v>62</v>
      </c>
      <c r="H42" t="s">
        <v>23</v>
      </c>
      <c r="I42" t="s">
        <v>93</v>
      </c>
      <c r="J42" t="s">
        <v>46</v>
      </c>
      <c r="K42">
        <v>5</v>
      </c>
      <c r="L42" s="3">
        <v>99750</v>
      </c>
      <c r="M42" s="3">
        <v>82000</v>
      </c>
      <c r="N42">
        <v>0</v>
      </c>
      <c r="O42" t="s">
        <v>47</v>
      </c>
      <c r="P42" t="s">
        <v>48</v>
      </c>
      <c r="Q42" s="3">
        <f>Table13[[#This Row],[Quantity]]*Table13[[#This Row],[UnitPrice_NGN]]</f>
        <v>498750</v>
      </c>
      <c r="R42" s="9">
        <f>Table13[[#This Row],[GrossRevenue]]*(1-Table13[[#This Row],[DiscountRate]])</f>
        <v>498750</v>
      </c>
      <c r="S42" s="3">
        <f>Table13[[#This Row],[Quantity]]*Table13[[#This Row],[UnitCost_NGN]]</f>
        <v>410000</v>
      </c>
      <c r="T42" s="3">
        <f>Table13[[#This Row],[NetRevenue]]-Table13[[#This Row],[TotalCost]]</f>
        <v>88750</v>
      </c>
      <c r="U42" s="3"/>
    </row>
    <row r="43" spans="1:21" x14ac:dyDescent="0.25">
      <c r="A43" t="s">
        <v>167</v>
      </c>
      <c r="B43" s="20">
        <v>45867</v>
      </c>
      <c r="C43" t="s">
        <v>40</v>
      </c>
      <c r="D43" t="s">
        <v>19</v>
      </c>
      <c r="E43" t="s">
        <v>20</v>
      </c>
      <c r="F43" t="s">
        <v>21</v>
      </c>
      <c r="G43" t="s">
        <v>62</v>
      </c>
      <c r="H43" t="s">
        <v>23</v>
      </c>
      <c r="I43" t="s">
        <v>24</v>
      </c>
      <c r="J43" t="s">
        <v>25</v>
      </c>
      <c r="K43">
        <v>5</v>
      </c>
      <c r="L43" s="3">
        <v>22000</v>
      </c>
      <c r="M43" s="3">
        <v>13000</v>
      </c>
      <c r="N43">
        <v>0.15</v>
      </c>
      <c r="O43" t="s">
        <v>90</v>
      </c>
      <c r="P43" t="s">
        <v>48</v>
      </c>
      <c r="Q43" s="3">
        <f>Table13[[#This Row],[Quantity]]*Table13[[#This Row],[UnitPrice_NGN]]</f>
        <v>110000</v>
      </c>
      <c r="R43" s="9">
        <f>Table13[[#This Row],[GrossRevenue]]*(1-Table13[[#This Row],[DiscountRate]])</f>
        <v>93500</v>
      </c>
      <c r="S43" s="3">
        <f>Table13[[#This Row],[Quantity]]*Table13[[#This Row],[UnitCost_NGN]]</f>
        <v>65000</v>
      </c>
      <c r="T43" s="3">
        <f>Table13[[#This Row],[NetRevenue]]-Table13[[#This Row],[TotalCost]]</f>
        <v>28500</v>
      </c>
      <c r="U43" s="3"/>
    </row>
    <row r="44" spans="1:21" x14ac:dyDescent="0.25">
      <c r="A44" t="s">
        <v>169</v>
      </c>
      <c r="B44" s="20">
        <v>45949</v>
      </c>
      <c r="C44" t="s">
        <v>40</v>
      </c>
      <c r="D44" t="s">
        <v>83</v>
      </c>
      <c r="E44" t="s">
        <v>84</v>
      </c>
      <c r="F44" t="s">
        <v>85</v>
      </c>
      <c r="G44" t="s">
        <v>22</v>
      </c>
      <c r="H44" t="s">
        <v>63</v>
      </c>
      <c r="I44" t="s">
        <v>113</v>
      </c>
      <c r="J44" t="s">
        <v>36</v>
      </c>
      <c r="K44">
        <v>5</v>
      </c>
      <c r="L44" s="3">
        <v>160000</v>
      </c>
      <c r="M44" s="3">
        <v>115000</v>
      </c>
      <c r="N44">
        <v>0.1</v>
      </c>
      <c r="O44" t="s">
        <v>57</v>
      </c>
      <c r="P44" t="s">
        <v>48</v>
      </c>
      <c r="Q44" s="3">
        <f>Table13[[#This Row],[Quantity]]*Table13[[#This Row],[UnitPrice_NGN]]</f>
        <v>800000</v>
      </c>
      <c r="R44" s="9">
        <f>Table13[[#This Row],[GrossRevenue]]*(1-Table13[[#This Row],[DiscountRate]])</f>
        <v>720000</v>
      </c>
      <c r="S44" s="3">
        <f>Table13[[#This Row],[Quantity]]*Table13[[#This Row],[UnitCost_NGN]]</f>
        <v>575000</v>
      </c>
      <c r="T44" s="3">
        <f>Table13[[#This Row],[NetRevenue]]-Table13[[#This Row],[TotalCost]]</f>
        <v>145000</v>
      </c>
      <c r="U44" s="3"/>
    </row>
    <row r="45" spans="1:21" x14ac:dyDescent="0.25">
      <c r="A45" t="s">
        <v>171</v>
      </c>
      <c r="B45" s="20">
        <v>45884</v>
      </c>
      <c r="C45" t="s">
        <v>30</v>
      </c>
      <c r="D45" t="s">
        <v>83</v>
      </c>
      <c r="E45" t="s">
        <v>84</v>
      </c>
      <c r="F45" t="s">
        <v>85</v>
      </c>
      <c r="G45" t="s">
        <v>44</v>
      </c>
      <c r="H45" t="s">
        <v>23</v>
      </c>
      <c r="I45" t="s">
        <v>113</v>
      </c>
      <c r="J45" t="s">
        <v>36</v>
      </c>
      <c r="K45">
        <v>6</v>
      </c>
      <c r="L45" s="3">
        <v>160000</v>
      </c>
      <c r="M45" s="3">
        <v>115000</v>
      </c>
      <c r="N45">
        <v>0.05</v>
      </c>
      <c r="O45" t="s">
        <v>37</v>
      </c>
      <c r="P45" t="s">
        <v>72</v>
      </c>
      <c r="Q45" s="3">
        <f>Table13[[#This Row],[Quantity]]*Table13[[#This Row],[UnitPrice_NGN]]</f>
        <v>960000</v>
      </c>
      <c r="R45" s="9">
        <f>Table13[[#This Row],[GrossRevenue]]*(1-Table13[[#This Row],[DiscountRate]])</f>
        <v>912000</v>
      </c>
      <c r="S45" s="3">
        <f>Table13[[#This Row],[Quantity]]*Table13[[#This Row],[UnitCost_NGN]]</f>
        <v>690000</v>
      </c>
      <c r="T45" s="3">
        <f>Table13[[#This Row],[NetRevenue]]-Table13[[#This Row],[TotalCost]]</f>
        <v>222000</v>
      </c>
      <c r="U45" s="3"/>
    </row>
    <row r="46" spans="1:21" x14ac:dyDescent="0.25">
      <c r="A46" t="s">
        <v>171</v>
      </c>
      <c r="B46" s="20">
        <v>45884</v>
      </c>
      <c r="C46" t="s">
        <v>40</v>
      </c>
      <c r="D46" t="s">
        <v>157</v>
      </c>
      <c r="E46" t="s">
        <v>158</v>
      </c>
      <c r="F46" t="s">
        <v>21</v>
      </c>
      <c r="G46" t="s">
        <v>44</v>
      </c>
      <c r="H46" t="s">
        <v>34</v>
      </c>
      <c r="I46" t="s">
        <v>113</v>
      </c>
      <c r="J46" t="s">
        <v>25</v>
      </c>
      <c r="K46">
        <v>6</v>
      </c>
      <c r="L46" s="3">
        <v>160000</v>
      </c>
      <c r="M46" s="3">
        <v>26000</v>
      </c>
      <c r="N46">
        <v>0</v>
      </c>
      <c r="O46" t="s">
        <v>90</v>
      </c>
      <c r="P46" t="s">
        <v>27</v>
      </c>
      <c r="Q46" s="3">
        <f>Table13[[#This Row],[Quantity]]*Table13[[#This Row],[UnitPrice_NGN]]</f>
        <v>960000</v>
      </c>
      <c r="R46" s="9">
        <f>Table13[[#This Row],[GrossRevenue]]*(1-Table13[[#This Row],[DiscountRate]])</f>
        <v>960000</v>
      </c>
      <c r="S46" s="3">
        <f>Table13[[#This Row],[Quantity]]*Table13[[#This Row],[UnitCost_NGN]]</f>
        <v>156000</v>
      </c>
      <c r="T46" s="3">
        <f>Table13[[#This Row],[NetRevenue]]-Table13[[#This Row],[TotalCost]]</f>
        <v>804000</v>
      </c>
      <c r="U46" s="3"/>
    </row>
    <row r="47" spans="1:21" x14ac:dyDescent="0.25">
      <c r="A47" t="s">
        <v>172</v>
      </c>
      <c r="B47" s="20">
        <v>45870</v>
      </c>
      <c r="C47" t="s">
        <v>30</v>
      </c>
      <c r="D47" t="s">
        <v>31</v>
      </c>
      <c r="E47" t="s">
        <v>32</v>
      </c>
      <c r="F47" t="s">
        <v>21</v>
      </c>
      <c r="G47" t="s">
        <v>44</v>
      </c>
      <c r="H47" t="s">
        <v>112</v>
      </c>
      <c r="I47" t="s">
        <v>35</v>
      </c>
      <c r="J47" t="s">
        <v>36</v>
      </c>
      <c r="K47">
        <v>2</v>
      </c>
      <c r="L47" s="3">
        <v>450000</v>
      </c>
      <c r="M47" s="3">
        <v>332500</v>
      </c>
      <c r="N47">
        <v>0.05</v>
      </c>
      <c r="O47" t="s">
        <v>37</v>
      </c>
      <c r="P47" t="s">
        <v>27</v>
      </c>
      <c r="Q47" s="3">
        <f>Table13[[#This Row],[Quantity]]*Table13[[#This Row],[UnitPrice_NGN]]</f>
        <v>900000</v>
      </c>
      <c r="R47" s="9">
        <f>Table13[[#This Row],[GrossRevenue]]*(1-Table13[[#This Row],[DiscountRate]])</f>
        <v>855000</v>
      </c>
      <c r="S47" s="3">
        <f>Table13[[#This Row],[Quantity]]*Table13[[#This Row],[UnitCost_NGN]]</f>
        <v>665000</v>
      </c>
      <c r="T47" s="3">
        <f>Table13[[#This Row],[NetRevenue]]-Table13[[#This Row],[TotalCost]]</f>
        <v>190000</v>
      </c>
      <c r="U47" s="3"/>
    </row>
    <row r="48" spans="1:21" x14ac:dyDescent="0.25">
      <c r="A48" t="s">
        <v>174</v>
      </c>
      <c r="B48" s="20">
        <v>45875</v>
      </c>
      <c r="C48" t="s">
        <v>18</v>
      </c>
      <c r="D48" t="s">
        <v>60</v>
      </c>
      <c r="E48" t="s">
        <v>61</v>
      </c>
      <c r="F48" t="s">
        <v>43</v>
      </c>
      <c r="G48" t="s">
        <v>33</v>
      </c>
      <c r="H48" t="s">
        <v>96</v>
      </c>
      <c r="I48" t="s">
        <v>55</v>
      </c>
      <c r="J48" t="s">
        <v>56</v>
      </c>
      <c r="K48">
        <v>1</v>
      </c>
      <c r="L48" s="3">
        <v>50400</v>
      </c>
      <c r="M48" s="3">
        <v>28500</v>
      </c>
      <c r="N48">
        <v>0</v>
      </c>
      <c r="O48" t="s">
        <v>64</v>
      </c>
      <c r="P48" t="s">
        <v>48</v>
      </c>
      <c r="Q48" s="3">
        <f>Table13[[#This Row],[Quantity]]*Table13[[#This Row],[UnitPrice_NGN]]</f>
        <v>50400</v>
      </c>
      <c r="R48" s="9">
        <f>Table13[[#This Row],[GrossRevenue]]*(1-Table13[[#This Row],[DiscountRate]])</f>
        <v>50400</v>
      </c>
      <c r="S48" s="3">
        <f>Table13[[#This Row],[Quantity]]*Table13[[#This Row],[UnitCost_NGN]]</f>
        <v>28500</v>
      </c>
      <c r="T48" s="3">
        <f>Table13[[#This Row],[NetRevenue]]-Table13[[#This Row],[TotalCost]]</f>
        <v>21900</v>
      </c>
      <c r="U48" s="3"/>
    </row>
    <row r="49" spans="1:21" x14ac:dyDescent="0.25">
      <c r="A49" t="s">
        <v>176</v>
      </c>
      <c r="B49" s="20">
        <v>45971</v>
      </c>
      <c r="C49" t="s">
        <v>30</v>
      </c>
      <c r="D49" t="s">
        <v>110</v>
      </c>
      <c r="E49" t="s">
        <v>111</v>
      </c>
      <c r="F49" t="s">
        <v>85</v>
      </c>
      <c r="G49" t="s">
        <v>33</v>
      </c>
      <c r="H49" t="s">
        <v>23</v>
      </c>
      <c r="I49" t="s">
        <v>51</v>
      </c>
      <c r="J49" t="s">
        <v>36</v>
      </c>
      <c r="K49">
        <v>1</v>
      </c>
      <c r="L49" s="3">
        <v>280000</v>
      </c>
      <c r="M49" s="3">
        <v>210000</v>
      </c>
      <c r="N49">
        <v>0.05</v>
      </c>
      <c r="O49" t="s">
        <v>37</v>
      </c>
      <c r="P49" t="s">
        <v>27</v>
      </c>
      <c r="Q49" s="3">
        <f>Table13[[#This Row],[Quantity]]*Table13[[#This Row],[UnitPrice_NGN]]</f>
        <v>280000</v>
      </c>
      <c r="R49" s="9">
        <f>Table13[[#This Row],[GrossRevenue]]*(1-Table13[[#This Row],[DiscountRate]])</f>
        <v>266000</v>
      </c>
      <c r="S49" s="3">
        <f>Table13[[#This Row],[Quantity]]*Table13[[#This Row],[UnitCost_NGN]]</f>
        <v>210000</v>
      </c>
      <c r="T49" s="3">
        <f>Table13[[#This Row],[NetRevenue]]-Table13[[#This Row],[TotalCost]]</f>
        <v>56000</v>
      </c>
      <c r="U49" s="3"/>
    </row>
    <row r="50" spans="1:21" x14ac:dyDescent="0.25">
      <c r="A50" t="s">
        <v>178</v>
      </c>
      <c r="B50" s="20">
        <v>45984</v>
      </c>
      <c r="C50" t="s">
        <v>30</v>
      </c>
      <c r="D50" t="s">
        <v>136</v>
      </c>
      <c r="E50" t="s">
        <v>137</v>
      </c>
      <c r="F50" t="s">
        <v>122</v>
      </c>
      <c r="G50" t="s">
        <v>33</v>
      </c>
      <c r="H50" t="s">
        <v>34</v>
      </c>
      <c r="I50" t="s">
        <v>75</v>
      </c>
      <c r="J50" t="s">
        <v>36</v>
      </c>
      <c r="K50">
        <v>8</v>
      </c>
      <c r="L50" s="3">
        <v>180000</v>
      </c>
      <c r="M50" s="3">
        <v>130000</v>
      </c>
      <c r="N50">
        <v>0</v>
      </c>
      <c r="O50" t="s">
        <v>57</v>
      </c>
      <c r="P50" t="s">
        <v>48</v>
      </c>
      <c r="Q50" s="3">
        <f>Table13[[#This Row],[Quantity]]*Table13[[#This Row],[UnitPrice_NGN]]</f>
        <v>1440000</v>
      </c>
      <c r="R50" s="9">
        <f>Table13[[#This Row],[GrossRevenue]]*(1-Table13[[#This Row],[DiscountRate]])</f>
        <v>1440000</v>
      </c>
      <c r="S50" s="3">
        <f>Table13[[#This Row],[Quantity]]*Table13[[#This Row],[UnitCost_NGN]]</f>
        <v>1040000</v>
      </c>
      <c r="T50" s="3">
        <f>Table13[[#This Row],[NetRevenue]]-Table13[[#This Row],[TotalCost]]</f>
        <v>400000</v>
      </c>
      <c r="U50" s="3"/>
    </row>
    <row r="51" spans="1:21" x14ac:dyDescent="0.25">
      <c r="A51" t="s">
        <v>180</v>
      </c>
      <c r="B51" s="20">
        <v>45821</v>
      </c>
      <c r="C51" t="s">
        <v>18</v>
      </c>
      <c r="D51" t="s">
        <v>19</v>
      </c>
      <c r="E51" t="s">
        <v>20</v>
      </c>
      <c r="F51" t="s">
        <v>21</v>
      </c>
      <c r="G51" t="s">
        <v>44</v>
      </c>
      <c r="H51" t="s">
        <v>34</v>
      </c>
      <c r="I51" t="s">
        <v>97</v>
      </c>
      <c r="J51" t="s">
        <v>56</v>
      </c>
      <c r="K51">
        <v>5</v>
      </c>
      <c r="L51" s="3">
        <v>118750</v>
      </c>
      <c r="M51" s="3">
        <v>85000</v>
      </c>
      <c r="N51">
        <v>0</v>
      </c>
      <c r="O51" t="s">
        <v>64</v>
      </c>
      <c r="P51" t="s">
        <v>133</v>
      </c>
      <c r="Q51" s="3">
        <f>Table13[[#This Row],[Quantity]]*Table13[[#This Row],[UnitPrice_NGN]]</f>
        <v>593750</v>
      </c>
      <c r="R51" s="9">
        <f>Table13[[#This Row],[GrossRevenue]]*(1-Table13[[#This Row],[DiscountRate]])</f>
        <v>593750</v>
      </c>
      <c r="S51" s="3">
        <f>Table13[[#This Row],[Quantity]]*Table13[[#This Row],[UnitCost_NGN]]</f>
        <v>425000</v>
      </c>
      <c r="T51" s="3">
        <f>Table13[[#This Row],[NetRevenue]]-Table13[[#This Row],[TotalCost]]</f>
        <v>168750</v>
      </c>
      <c r="U51" s="3"/>
    </row>
    <row r="52" spans="1:21" x14ac:dyDescent="0.25">
      <c r="A52" t="s">
        <v>182</v>
      </c>
      <c r="B52" s="20">
        <v>45866</v>
      </c>
      <c r="C52" t="s">
        <v>30</v>
      </c>
      <c r="D52" t="s">
        <v>136</v>
      </c>
      <c r="E52" t="s">
        <v>137</v>
      </c>
      <c r="F52" t="s">
        <v>122</v>
      </c>
      <c r="G52" t="s">
        <v>33</v>
      </c>
      <c r="H52" t="s">
        <v>112</v>
      </c>
      <c r="I52" t="s">
        <v>55</v>
      </c>
      <c r="J52" t="s">
        <v>56</v>
      </c>
      <c r="K52">
        <v>1</v>
      </c>
      <c r="L52" s="3">
        <v>45600</v>
      </c>
      <c r="M52" s="3">
        <v>28500</v>
      </c>
      <c r="N52">
        <v>0.05</v>
      </c>
      <c r="O52" t="s">
        <v>148</v>
      </c>
      <c r="P52" t="s">
        <v>48</v>
      </c>
      <c r="Q52" s="3">
        <f>Table13[[#This Row],[Quantity]]*Table13[[#This Row],[UnitPrice_NGN]]</f>
        <v>45600</v>
      </c>
      <c r="R52" s="9">
        <f>Table13[[#This Row],[GrossRevenue]]*(1-Table13[[#This Row],[DiscountRate]])</f>
        <v>43320</v>
      </c>
      <c r="S52" s="3">
        <f>Table13[[#This Row],[Quantity]]*Table13[[#This Row],[UnitCost_NGN]]</f>
        <v>28500</v>
      </c>
      <c r="T52" s="3">
        <f>Table13[[#This Row],[NetRevenue]]-Table13[[#This Row],[TotalCost]]</f>
        <v>14820</v>
      </c>
      <c r="U52" s="3"/>
    </row>
    <row r="53" spans="1:21" x14ac:dyDescent="0.25">
      <c r="A53" t="s">
        <v>184</v>
      </c>
      <c r="B53" s="20">
        <v>45852</v>
      </c>
      <c r="C53" t="s">
        <v>18</v>
      </c>
      <c r="D53" t="s">
        <v>83</v>
      </c>
      <c r="E53" t="s">
        <v>84</v>
      </c>
      <c r="F53" t="s">
        <v>85</v>
      </c>
      <c r="G53" t="s">
        <v>62</v>
      </c>
      <c r="H53" t="s">
        <v>63</v>
      </c>
      <c r="I53" t="s">
        <v>113</v>
      </c>
      <c r="J53" t="s">
        <v>36</v>
      </c>
      <c r="K53">
        <v>3</v>
      </c>
      <c r="L53" s="3">
        <v>176000</v>
      </c>
      <c r="M53" s="3">
        <v>109250</v>
      </c>
      <c r="N53">
        <v>0.1</v>
      </c>
      <c r="O53" t="s">
        <v>26</v>
      </c>
      <c r="P53" t="s">
        <v>72</v>
      </c>
      <c r="Q53" s="3">
        <f>Table13[[#This Row],[Quantity]]*Table13[[#This Row],[UnitPrice_NGN]]</f>
        <v>528000</v>
      </c>
      <c r="R53" s="9">
        <f>Table13[[#This Row],[GrossRevenue]]*(1-Table13[[#This Row],[DiscountRate]])</f>
        <v>475200</v>
      </c>
      <c r="S53" s="3">
        <f>Table13[[#This Row],[Quantity]]*Table13[[#This Row],[UnitCost_NGN]]</f>
        <v>327750</v>
      </c>
      <c r="T53" s="3">
        <f>Table13[[#This Row],[NetRevenue]]-Table13[[#This Row],[TotalCost]]</f>
        <v>147450</v>
      </c>
      <c r="U53" s="3"/>
    </row>
    <row r="54" spans="1:21" x14ac:dyDescent="0.25">
      <c r="A54" t="s">
        <v>186</v>
      </c>
      <c r="B54" s="20">
        <v>45770</v>
      </c>
      <c r="C54" t="s">
        <v>40</v>
      </c>
      <c r="D54" t="s">
        <v>78</v>
      </c>
      <c r="E54" t="s">
        <v>79</v>
      </c>
      <c r="F54" t="s">
        <v>80</v>
      </c>
      <c r="G54" t="s">
        <v>33</v>
      </c>
      <c r="H54" t="s">
        <v>96</v>
      </c>
      <c r="I54" t="s">
        <v>55</v>
      </c>
      <c r="J54" t="s">
        <v>56</v>
      </c>
      <c r="K54">
        <v>6</v>
      </c>
      <c r="L54" s="3">
        <v>48000</v>
      </c>
      <c r="M54" s="3">
        <v>30000</v>
      </c>
      <c r="N54">
        <v>0.05</v>
      </c>
      <c r="O54" t="s">
        <v>26</v>
      </c>
      <c r="P54" t="s">
        <v>48</v>
      </c>
      <c r="Q54" s="3">
        <f>Table13[[#This Row],[Quantity]]*Table13[[#This Row],[UnitPrice_NGN]]</f>
        <v>288000</v>
      </c>
      <c r="R54" s="9">
        <f>Table13[[#This Row],[GrossRevenue]]*(1-Table13[[#This Row],[DiscountRate]])</f>
        <v>273600</v>
      </c>
      <c r="S54" s="3">
        <f>Table13[[#This Row],[Quantity]]*Table13[[#This Row],[UnitCost_NGN]]</f>
        <v>180000</v>
      </c>
      <c r="T54" s="3">
        <f>Table13[[#This Row],[NetRevenue]]-Table13[[#This Row],[TotalCost]]</f>
        <v>93600</v>
      </c>
      <c r="U54" s="3"/>
    </row>
    <row r="55" spans="1:21" x14ac:dyDescent="0.25">
      <c r="A55" t="s">
        <v>188</v>
      </c>
      <c r="B55" s="20">
        <v>45723</v>
      </c>
      <c r="C55" t="s">
        <v>30</v>
      </c>
      <c r="D55" t="s">
        <v>120</v>
      </c>
      <c r="E55" t="s">
        <v>121</v>
      </c>
      <c r="F55" t="s">
        <v>122</v>
      </c>
      <c r="G55" t="s">
        <v>22</v>
      </c>
      <c r="H55" t="s">
        <v>112</v>
      </c>
      <c r="I55" t="s">
        <v>105</v>
      </c>
      <c r="J55" t="s">
        <v>71</v>
      </c>
      <c r="K55">
        <v>5</v>
      </c>
      <c r="L55" s="3">
        <v>175000</v>
      </c>
      <c r="M55" s="3">
        <v>120000</v>
      </c>
      <c r="N55">
        <v>0.05</v>
      </c>
      <c r="O55" t="s">
        <v>148</v>
      </c>
      <c r="P55" t="s">
        <v>133</v>
      </c>
      <c r="Q55" s="3">
        <f>Table13[[#This Row],[Quantity]]*Table13[[#This Row],[UnitPrice_NGN]]</f>
        <v>875000</v>
      </c>
      <c r="R55" s="9">
        <f>Table13[[#This Row],[GrossRevenue]]*(1-Table13[[#This Row],[DiscountRate]])</f>
        <v>831250</v>
      </c>
      <c r="S55" s="3">
        <f>Table13[[#This Row],[Quantity]]*Table13[[#This Row],[UnitCost_NGN]]</f>
        <v>600000</v>
      </c>
      <c r="T55" s="3">
        <f>Table13[[#This Row],[NetRevenue]]-Table13[[#This Row],[TotalCost]]</f>
        <v>231250</v>
      </c>
      <c r="U55" s="3"/>
    </row>
    <row r="56" spans="1:21" x14ac:dyDescent="0.25">
      <c r="A56" t="s">
        <v>190</v>
      </c>
      <c r="B56" s="20">
        <v>45683</v>
      </c>
      <c r="C56" t="s">
        <v>40</v>
      </c>
      <c r="D56" t="s">
        <v>120</v>
      </c>
      <c r="E56" t="s">
        <v>121</v>
      </c>
      <c r="F56" t="s">
        <v>122</v>
      </c>
      <c r="G56" t="s">
        <v>62</v>
      </c>
      <c r="H56" t="s">
        <v>34</v>
      </c>
      <c r="I56" t="s">
        <v>51</v>
      </c>
      <c r="J56" t="s">
        <v>36</v>
      </c>
      <c r="K56">
        <v>3</v>
      </c>
      <c r="L56" s="3">
        <v>308000</v>
      </c>
      <c r="M56" s="3">
        <v>220500</v>
      </c>
      <c r="N56">
        <v>0</v>
      </c>
      <c r="O56" t="s">
        <v>37</v>
      </c>
      <c r="P56" t="s">
        <v>48</v>
      </c>
      <c r="Q56" s="3">
        <f>Table13[[#This Row],[Quantity]]*Table13[[#This Row],[UnitPrice_NGN]]</f>
        <v>924000</v>
      </c>
      <c r="R56" s="9">
        <f>Table13[[#This Row],[GrossRevenue]]*(1-Table13[[#This Row],[DiscountRate]])</f>
        <v>924000</v>
      </c>
      <c r="S56" s="3">
        <f>Table13[[#This Row],[Quantity]]*Table13[[#This Row],[UnitCost_NGN]]</f>
        <v>661500</v>
      </c>
      <c r="T56" s="3">
        <f>Table13[[#This Row],[NetRevenue]]-Table13[[#This Row],[TotalCost]]</f>
        <v>262500</v>
      </c>
      <c r="U56" s="3"/>
    </row>
    <row r="57" spans="1:21" x14ac:dyDescent="0.25">
      <c r="A57" t="s">
        <v>192</v>
      </c>
      <c r="B57" s="20">
        <v>45787</v>
      </c>
      <c r="C57" t="s">
        <v>40</v>
      </c>
      <c r="D57" t="s">
        <v>88</v>
      </c>
      <c r="E57" t="s">
        <v>89</v>
      </c>
      <c r="F57" t="s">
        <v>43</v>
      </c>
      <c r="G57" t="s">
        <v>22</v>
      </c>
      <c r="H57" t="s">
        <v>23</v>
      </c>
      <c r="I57" t="s">
        <v>105</v>
      </c>
      <c r="J57" t="s">
        <v>71</v>
      </c>
      <c r="K57">
        <v>6</v>
      </c>
      <c r="L57" s="3">
        <v>175000</v>
      </c>
      <c r="M57" s="3">
        <v>120000</v>
      </c>
      <c r="N57">
        <v>0.05</v>
      </c>
      <c r="O57" t="s">
        <v>148</v>
      </c>
      <c r="P57" t="s">
        <v>48</v>
      </c>
      <c r="Q57" s="3">
        <f>Table13[[#This Row],[Quantity]]*Table13[[#This Row],[UnitPrice_NGN]]</f>
        <v>1050000</v>
      </c>
      <c r="R57" s="9">
        <f>Table13[[#This Row],[GrossRevenue]]*(1-Table13[[#This Row],[DiscountRate]])</f>
        <v>997500</v>
      </c>
      <c r="S57" s="3">
        <f>Table13[[#This Row],[Quantity]]*Table13[[#This Row],[UnitCost_NGN]]</f>
        <v>720000</v>
      </c>
      <c r="T57" s="3">
        <f>Table13[[#This Row],[NetRevenue]]-Table13[[#This Row],[TotalCost]]</f>
        <v>277500</v>
      </c>
      <c r="U57" s="3"/>
    </row>
    <row r="58" spans="1:21" x14ac:dyDescent="0.25">
      <c r="A58" t="s">
        <v>194</v>
      </c>
      <c r="B58" s="20">
        <v>45784</v>
      </c>
      <c r="C58" t="s">
        <v>18</v>
      </c>
      <c r="D58" t="s">
        <v>60</v>
      </c>
      <c r="E58" t="s">
        <v>61</v>
      </c>
      <c r="F58" t="s">
        <v>43</v>
      </c>
      <c r="G58" t="s">
        <v>44</v>
      </c>
      <c r="H58" t="s">
        <v>34</v>
      </c>
      <c r="I58" t="s">
        <v>105</v>
      </c>
      <c r="J58" t="s">
        <v>71</v>
      </c>
      <c r="K58">
        <v>5</v>
      </c>
      <c r="L58" s="3">
        <v>192500</v>
      </c>
      <c r="M58" s="3">
        <v>114000</v>
      </c>
      <c r="N58">
        <v>0</v>
      </c>
      <c r="O58" t="s">
        <v>90</v>
      </c>
      <c r="P58" t="s">
        <v>48</v>
      </c>
      <c r="Q58" s="3">
        <f>Table13[[#This Row],[Quantity]]*Table13[[#This Row],[UnitPrice_NGN]]</f>
        <v>962500</v>
      </c>
      <c r="R58" s="9">
        <f>Table13[[#This Row],[GrossRevenue]]*(1-Table13[[#This Row],[DiscountRate]])</f>
        <v>962500</v>
      </c>
      <c r="S58" s="3">
        <f>Table13[[#This Row],[Quantity]]*Table13[[#This Row],[UnitCost_NGN]]</f>
        <v>570000</v>
      </c>
      <c r="T58" s="3">
        <f>Table13[[#This Row],[NetRevenue]]-Table13[[#This Row],[TotalCost]]</f>
        <v>392500</v>
      </c>
      <c r="U58" s="3"/>
    </row>
    <row r="59" spans="1:21" x14ac:dyDescent="0.25">
      <c r="A59" t="s">
        <v>196</v>
      </c>
      <c r="B59" s="20">
        <v>45789</v>
      </c>
      <c r="C59" t="s">
        <v>18</v>
      </c>
      <c r="D59" t="s">
        <v>120</v>
      </c>
      <c r="E59" t="s">
        <v>121</v>
      </c>
      <c r="F59" t="s">
        <v>122</v>
      </c>
      <c r="G59" t="s">
        <v>22</v>
      </c>
      <c r="H59" t="s">
        <v>34</v>
      </c>
      <c r="I59" t="s">
        <v>97</v>
      </c>
      <c r="J59" t="s">
        <v>56</v>
      </c>
      <c r="K59">
        <v>1</v>
      </c>
      <c r="L59" s="3">
        <v>118750</v>
      </c>
      <c r="M59" s="3">
        <v>89250</v>
      </c>
      <c r="N59">
        <v>0.15</v>
      </c>
      <c r="O59" t="s">
        <v>57</v>
      </c>
      <c r="P59" t="s">
        <v>48</v>
      </c>
      <c r="Q59" s="3">
        <f>Table13[[#This Row],[Quantity]]*Table13[[#This Row],[UnitPrice_NGN]]</f>
        <v>118750</v>
      </c>
      <c r="R59" s="9">
        <f>Table13[[#This Row],[GrossRevenue]]*(1-Table13[[#This Row],[DiscountRate]])</f>
        <v>100937.5</v>
      </c>
      <c r="S59" s="3">
        <f>Table13[[#This Row],[Quantity]]*Table13[[#This Row],[UnitCost_NGN]]</f>
        <v>89250</v>
      </c>
      <c r="T59" s="3">
        <f>Table13[[#This Row],[NetRevenue]]-Table13[[#This Row],[TotalCost]]</f>
        <v>11687.5</v>
      </c>
      <c r="U59" s="3"/>
    </row>
    <row r="60" spans="1:21" x14ac:dyDescent="0.25">
      <c r="A60" t="s">
        <v>198</v>
      </c>
      <c r="B60" s="20">
        <v>45759</v>
      </c>
      <c r="C60" t="s">
        <v>30</v>
      </c>
      <c r="D60" t="s">
        <v>131</v>
      </c>
      <c r="E60" t="s">
        <v>132</v>
      </c>
      <c r="F60" t="s">
        <v>80</v>
      </c>
      <c r="G60" t="s">
        <v>44</v>
      </c>
      <c r="H60" t="s">
        <v>96</v>
      </c>
      <c r="I60" t="s">
        <v>51</v>
      </c>
      <c r="J60" t="s">
        <v>36</v>
      </c>
      <c r="K60">
        <v>1</v>
      </c>
      <c r="L60" s="3">
        <v>280000</v>
      </c>
      <c r="M60" s="3">
        <v>220500</v>
      </c>
      <c r="N60">
        <v>0.05</v>
      </c>
      <c r="O60" t="s">
        <v>57</v>
      </c>
      <c r="P60" t="s">
        <v>48</v>
      </c>
      <c r="Q60" s="3">
        <f>Table13[[#This Row],[Quantity]]*Table13[[#This Row],[UnitPrice_NGN]]</f>
        <v>280000</v>
      </c>
      <c r="R60" s="9">
        <f>Table13[[#This Row],[GrossRevenue]]*(1-Table13[[#This Row],[DiscountRate]])</f>
        <v>266000</v>
      </c>
      <c r="S60" s="3">
        <f>Table13[[#This Row],[Quantity]]*Table13[[#This Row],[UnitCost_NGN]]</f>
        <v>220500</v>
      </c>
      <c r="T60" s="3">
        <f>Table13[[#This Row],[NetRevenue]]-Table13[[#This Row],[TotalCost]]</f>
        <v>45500</v>
      </c>
      <c r="U60" s="3"/>
    </row>
    <row r="61" spans="1:21" x14ac:dyDescent="0.25">
      <c r="A61" t="s">
        <v>199</v>
      </c>
      <c r="B61" s="20">
        <v>45930</v>
      </c>
      <c r="C61" t="s">
        <v>30</v>
      </c>
      <c r="D61" t="s">
        <v>131</v>
      </c>
      <c r="E61" t="s">
        <v>132</v>
      </c>
      <c r="F61" t="s">
        <v>80</v>
      </c>
      <c r="G61" t="s">
        <v>62</v>
      </c>
      <c r="H61" t="s">
        <v>96</v>
      </c>
      <c r="I61" t="s">
        <v>24</v>
      </c>
      <c r="J61" t="s">
        <v>25</v>
      </c>
      <c r="K61">
        <v>6</v>
      </c>
      <c r="L61" s="3">
        <v>24200</v>
      </c>
      <c r="M61" s="3">
        <v>12350</v>
      </c>
      <c r="N61">
        <v>0</v>
      </c>
      <c r="O61" t="s">
        <v>47</v>
      </c>
      <c r="P61" t="s">
        <v>72</v>
      </c>
      <c r="Q61" s="3">
        <f>Table13[[#This Row],[Quantity]]*Table13[[#This Row],[UnitPrice_NGN]]</f>
        <v>145200</v>
      </c>
      <c r="R61" s="9">
        <f>Table13[[#This Row],[GrossRevenue]]*(1-Table13[[#This Row],[DiscountRate]])</f>
        <v>145200</v>
      </c>
      <c r="S61" s="3">
        <f>Table13[[#This Row],[Quantity]]*Table13[[#This Row],[UnitCost_NGN]]</f>
        <v>74100</v>
      </c>
      <c r="T61" s="3">
        <f>Table13[[#This Row],[NetRevenue]]-Table13[[#This Row],[TotalCost]]</f>
        <v>71100</v>
      </c>
      <c r="U61" s="3"/>
    </row>
    <row r="62" spans="1:21" x14ac:dyDescent="0.25">
      <c r="A62" t="s">
        <v>201</v>
      </c>
      <c r="B62" s="20">
        <v>45983</v>
      </c>
      <c r="C62" t="s">
        <v>30</v>
      </c>
      <c r="D62" t="s">
        <v>83</v>
      </c>
      <c r="E62" t="s">
        <v>84</v>
      </c>
      <c r="F62" t="s">
        <v>85</v>
      </c>
      <c r="G62" t="s">
        <v>44</v>
      </c>
      <c r="H62" t="s">
        <v>112</v>
      </c>
      <c r="I62" t="s">
        <v>35</v>
      </c>
      <c r="J62" t="s">
        <v>36</v>
      </c>
      <c r="K62">
        <v>8</v>
      </c>
      <c r="L62" s="3">
        <v>405000</v>
      </c>
      <c r="M62" s="3">
        <v>367500</v>
      </c>
      <c r="N62">
        <v>0</v>
      </c>
      <c r="O62" t="s">
        <v>90</v>
      </c>
      <c r="P62" t="s">
        <v>72</v>
      </c>
      <c r="Q62" s="3">
        <f>Table13[[#This Row],[Quantity]]*Table13[[#This Row],[UnitPrice_NGN]]</f>
        <v>3240000</v>
      </c>
      <c r="R62" s="9">
        <f>Table13[[#This Row],[GrossRevenue]]*(1-Table13[[#This Row],[DiscountRate]])</f>
        <v>3240000</v>
      </c>
      <c r="S62" s="3">
        <f>Table13[[#This Row],[Quantity]]*Table13[[#This Row],[UnitCost_NGN]]</f>
        <v>2940000</v>
      </c>
      <c r="T62" s="3">
        <f>Table13[[#This Row],[NetRevenue]]-Table13[[#This Row],[TotalCost]]</f>
        <v>300000</v>
      </c>
      <c r="U62" s="3"/>
    </row>
    <row r="63" spans="1:21" x14ac:dyDescent="0.25">
      <c r="A63" t="s">
        <v>202</v>
      </c>
      <c r="B63" s="20">
        <v>45881</v>
      </c>
      <c r="C63" t="s">
        <v>30</v>
      </c>
      <c r="D63" t="s">
        <v>78</v>
      </c>
      <c r="E63" t="s">
        <v>79</v>
      </c>
      <c r="F63" t="s">
        <v>80</v>
      </c>
      <c r="G63" t="s">
        <v>62</v>
      </c>
      <c r="H63" t="s">
        <v>63</v>
      </c>
      <c r="I63" t="s">
        <v>102</v>
      </c>
      <c r="J63" t="s">
        <v>25</v>
      </c>
      <c r="K63">
        <v>12</v>
      </c>
      <c r="L63" s="3">
        <v>42000</v>
      </c>
      <c r="M63" s="3">
        <v>27300</v>
      </c>
      <c r="N63">
        <v>0.05</v>
      </c>
      <c r="O63" t="s">
        <v>64</v>
      </c>
      <c r="P63" t="s">
        <v>27</v>
      </c>
      <c r="Q63" s="3">
        <f>Table13[[#This Row],[Quantity]]*Table13[[#This Row],[UnitPrice_NGN]]</f>
        <v>504000</v>
      </c>
      <c r="R63" s="9">
        <f>Table13[[#This Row],[GrossRevenue]]*(1-Table13[[#This Row],[DiscountRate]])</f>
        <v>478800</v>
      </c>
      <c r="S63" s="3">
        <f>Table13[[#This Row],[Quantity]]*Table13[[#This Row],[UnitCost_NGN]]</f>
        <v>327600</v>
      </c>
      <c r="T63" s="3">
        <f>Table13[[#This Row],[NetRevenue]]-Table13[[#This Row],[TotalCost]]</f>
        <v>151200</v>
      </c>
      <c r="U63" s="3"/>
    </row>
    <row r="64" spans="1:21" x14ac:dyDescent="0.25">
      <c r="A64" t="s">
        <v>204</v>
      </c>
      <c r="B64" s="20">
        <v>45970</v>
      </c>
      <c r="C64" t="s">
        <v>40</v>
      </c>
      <c r="D64" t="s">
        <v>41</v>
      </c>
      <c r="E64" t="s">
        <v>42</v>
      </c>
      <c r="F64" t="s">
        <v>43</v>
      </c>
      <c r="G64" t="s">
        <v>62</v>
      </c>
      <c r="H64" t="s">
        <v>96</v>
      </c>
      <c r="I64" t="s">
        <v>51</v>
      </c>
      <c r="J64" t="s">
        <v>36</v>
      </c>
      <c r="K64">
        <v>10</v>
      </c>
      <c r="L64" s="3">
        <v>266000</v>
      </c>
      <c r="M64" s="3">
        <v>220500</v>
      </c>
      <c r="N64">
        <v>0.1</v>
      </c>
      <c r="O64" t="s">
        <v>37</v>
      </c>
      <c r="P64" t="s">
        <v>27</v>
      </c>
      <c r="Q64" s="3">
        <f>Table13[[#This Row],[Quantity]]*Table13[[#This Row],[UnitPrice_NGN]]</f>
        <v>2660000</v>
      </c>
      <c r="R64" s="9">
        <f>Table13[[#This Row],[GrossRevenue]]*(1-Table13[[#This Row],[DiscountRate]])</f>
        <v>2394000</v>
      </c>
      <c r="S64" s="3">
        <f>Table13[[#This Row],[Quantity]]*Table13[[#This Row],[UnitCost_NGN]]</f>
        <v>2205000</v>
      </c>
      <c r="T64" s="3">
        <f>Table13[[#This Row],[NetRevenue]]-Table13[[#This Row],[TotalCost]]</f>
        <v>189000</v>
      </c>
      <c r="U64" s="3"/>
    </row>
    <row r="65" spans="1:21" x14ac:dyDescent="0.25">
      <c r="A65" t="s">
        <v>206</v>
      </c>
      <c r="B65" s="20">
        <v>45801</v>
      </c>
      <c r="C65" t="s">
        <v>30</v>
      </c>
      <c r="D65" t="s">
        <v>157</v>
      </c>
      <c r="E65" t="s">
        <v>158</v>
      </c>
      <c r="F65" t="s">
        <v>21</v>
      </c>
      <c r="G65" t="s">
        <v>62</v>
      </c>
      <c r="H65" t="s">
        <v>23</v>
      </c>
      <c r="I65" t="s">
        <v>105</v>
      </c>
      <c r="J65" t="s">
        <v>71</v>
      </c>
      <c r="K65">
        <v>3</v>
      </c>
      <c r="L65" s="3">
        <v>175000</v>
      </c>
      <c r="M65" s="3">
        <v>120000</v>
      </c>
      <c r="N65">
        <v>0</v>
      </c>
      <c r="O65" t="s">
        <v>148</v>
      </c>
      <c r="P65" t="s">
        <v>133</v>
      </c>
      <c r="Q65" s="3">
        <f>Table13[[#This Row],[Quantity]]*Table13[[#This Row],[UnitPrice_NGN]]</f>
        <v>525000</v>
      </c>
      <c r="R65" s="9">
        <f>Table13[[#This Row],[GrossRevenue]]*(1-Table13[[#This Row],[DiscountRate]])</f>
        <v>525000</v>
      </c>
      <c r="S65" s="3">
        <f>Table13[[#This Row],[Quantity]]*Table13[[#This Row],[UnitCost_NGN]]</f>
        <v>360000</v>
      </c>
      <c r="T65" s="3">
        <f>Table13[[#This Row],[NetRevenue]]-Table13[[#This Row],[TotalCost]]</f>
        <v>165000</v>
      </c>
      <c r="U65" s="3"/>
    </row>
    <row r="66" spans="1:21" x14ac:dyDescent="0.25">
      <c r="A66" t="s">
        <v>208</v>
      </c>
      <c r="B66" s="20">
        <v>45942</v>
      </c>
      <c r="C66" t="s">
        <v>30</v>
      </c>
      <c r="D66" t="s">
        <v>60</v>
      </c>
      <c r="E66" t="s">
        <v>61</v>
      </c>
      <c r="F66" t="s">
        <v>43</v>
      </c>
      <c r="G66" t="s">
        <v>33</v>
      </c>
      <c r="H66" t="s">
        <v>112</v>
      </c>
      <c r="I66" t="s">
        <v>93</v>
      </c>
      <c r="J66" t="s">
        <v>46</v>
      </c>
      <c r="K66">
        <v>1</v>
      </c>
      <c r="L66" s="3">
        <v>99750</v>
      </c>
      <c r="M66" s="3">
        <v>86100</v>
      </c>
      <c r="N66">
        <v>0.05</v>
      </c>
      <c r="O66" t="s">
        <v>37</v>
      </c>
      <c r="P66" t="s">
        <v>48</v>
      </c>
      <c r="Q66" s="3">
        <f>Table13[[#This Row],[Quantity]]*Table13[[#This Row],[UnitPrice_NGN]]</f>
        <v>99750</v>
      </c>
      <c r="R66" s="9">
        <f>Table13[[#This Row],[GrossRevenue]]*(1-Table13[[#This Row],[DiscountRate]])</f>
        <v>94762.5</v>
      </c>
      <c r="S66" s="3">
        <f>Table13[[#This Row],[Quantity]]*Table13[[#This Row],[UnitCost_NGN]]</f>
        <v>86100</v>
      </c>
      <c r="T66" s="3">
        <f>Table13[[#This Row],[NetRevenue]]-Table13[[#This Row],[TotalCost]]</f>
        <v>8662.5</v>
      </c>
      <c r="U66" s="3"/>
    </row>
    <row r="67" spans="1:21" x14ac:dyDescent="0.25">
      <c r="A67" t="s">
        <v>210</v>
      </c>
      <c r="B67" s="20">
        <v>45997</v>
      </c>
      <c r="C67" t="s">
        <v>40</v>
      </c>
      <c r="D67" t="s">
        <v>19</v>
      </c>
      <c r="E67" t="s">
        <v>20</v>
      </c>
      <c r="F67" t="s">
        <v>21</v>
      </c>
      <c r="G67" t="s">
        <v>33</v>
      </c>
      <c r="H67" t="s">
        <v>23</v>
      </c>
      <c r="I67" t="s">
        <v>35</v>
      </c>
      <c r="J67" t="s">
        <v>36</v>
      </c>
      <c r="K67">
        <v>2</v>
      </c>
      <c r="L67" s="3">
        <v>450000</v>
      </c>
      <c r="M67" s="3">
        <v>350000</v>
      </c>
      <c r="N67">
        <v>0</v>
      </c>
      <c r="O67" t="s">
        <v>47</v>
      </c>
      <c r="P67" t="s">
        <v>133</v>
      </c>
      <c r="Q67" s="3">
        <f>Table13[[#This Row],[Quantity]]*Table13[[#This Row],[UnitPrice_NGN]]</f>
        <v>900000</v>
      </c>
      <c r="R67" s="9">
        <f>Table13[[#This Row],[GrossRevenue]]*(1-Table13[[#This Row],[DiscountRate]])</f>
        <v>900000</v>
      </c>
      <c r="S67" s="3">
        <f>Table13[[#This Row],[Quantity]]*Table13[[#This Row],[UnitCost_NGN]]</f>
        <v>700000</v>
      </c>
      <c r="T67" s="3">
        <f>Table13[[#This Row],[NetRevenue]]-Table13[[#This Row],[TotalCost]]</f>
        <v>200000</v>
      </c>
      <c r="U67" s="3"/>
    </row>
    <row r="68" spans="1:21" x14ac:dyDescent="0.25">
      <c r="A68" t="s">
        <v>212</v>
      </c>
      <c r="B68" s="20">
        <v>45814</v>
      </c>
      <c r="C68" t="s">
        <v>18</v>
      </c>
      <c r="D68" t="s">
        <v>136</v>
      </c>
      <c r="E68" t="s">
        <v>137</v>
      </c>
      <c r="F68" t="s">
        <v>122</v>
      </c>
      <c r="G68" t="s">
        <v>22</v>
      </c>
      <c r="H68" t="s">
        <v>34</v>
      </c>
      <c r="I68" t="s">
        <v>55</v>
      </c>
      <c r="J68" t="s">
        <v>56</v>
      </c>
      <c r="K68">
        <v>4</v>
      </c>
      <c r="L68" s="3">
        <v>48000</v>
      </c>
      <c r="M68" s="3">
        <v>31500</v>
      </c>
      <c r="N68">
        <v>0</v>
      </c>
      <c r="O68" t="s">
        <v>47</v>
      </c>
      <c r="P68" t="s">
        <v>48</v>
      </c>
      <c r="Q68" s="3">
        <f>Table13[[#This Row],[Quantity]]*Table13[[#This Row],[UnitPrice_NGN]]</f>
        <v>192000</v>
      </c>
      <c r="R68" s="9">
        <f>Table13[[#This Row],[GrossRevenue]]*(1-Table13[[#This Row],[DiscountRate]])</f>
        <v>192000</v>
      </c>
      <c r="S68" s="3">
        <f>Table13[[#This Row],[Quantity]]*Table13[[#This Row],[UnitCost_NGN]]</f>
        <v>126000</v>
      </c>
      <c r="T68" s="3">
        <f>Table13[[#This Row],[NetRevenue]]-Table13[[#This Row],[TotalCost]]</f>
        <v>66000</v>
      </c>
      <c r="U68" s="3"/>
    </row>
    <row r="69" spans="1:21" x14ac:dyDescent="0.25">
      <c r="A69" t="s">
        <v>214</v>
      </c>
      <c r="B69" s="20">
        <v>45768</v>
      </c>
      <c r="C69" t="s">
        <v>40</v>
      </c>
      <c r="D69" t="s">
        <v>136</v>
      </c>
      <c r="E69" t="s">
        <v>137</v>
      </c>
      <c r="F69" t="s">
        <v>122</v>
      </c>
      <c r="G69" t="s">
        <v>62</v>
      </c>
      <c r="H69" t="s">
        <v>23</v>
      </c>
      <c r="I69" t="s">
        <v>51</v>
      </c>
      <c r="J69" t="s">
        <v>36</v>
      </c>
      <c r="K69">
        <v>4</v>
      </c>
      <c r="L69" s="3">
        <v>308000</v>
      </c>
      <c r="M69" s="3">
        <v>210000</v>
      </c>
      <c r="N69">
        <v>0</v>
      </c>
      <c r="O69" t="s">
        <v>57</v>
      </c>
      <c r="P69" t="s">
        <v>27</v>
      </c>
      <c r="Q69" s="3">
        <f>Table13[[#This Row],[Quantity]]*Table13[[#This Row],[UnitPrice_NGN]]</f>
        <v>1232000</v>
      </c>
      <c r="R69" s="9">
        <f>Table13[[#This Row],[GrossRevenue]]*(1-Table13[[#This Row],[DiscountRate]])</f>
        <v>1232000</v>
      </c>
      <c r="S69" s="3">
        <f>Table13[[#This Row],[Quantity]]*Table13[[#This Row],[UnitCost_NGN]]</f>
        <v>840000</v>
      </c>
      <c r="T69" s="3">
        <f>Table13[[#This Row],[NetRevenue]]-Table13[[#This Row],[TotalCost]]</f>
        <v>392000</v>
      </c>
      <c r="U69" s="3"/>
    </row>
    <row r="70" spans="1:21" x14ac:dyDescent="0.25">
      <c r="A70" t="s">
        <v>216</v>
      </c>
      <c r="B70" s="20">
        <v>45665</v>
      </c>
      <c r="C70" t="s">
        <v>30</v>
      </c>
      <c r="D70" t="s">
        <v>60</v>
      </c>
      <c r="E70" t="s">
        <v>61</v>
      </c>
      <c r="F70" t="s">
        <v>43</v>
      </c>
      <c r="G70" t="s">
        <v>44</v>
      </c>
      <c r="H70" t="s">
        <v>63</v>
      </c>
      <c r="I70" t="s">
        <v>51</v>
      </c>
      <c r="J70" t="s">
        <v>36</v>
      </c>
      <c r="K70">
        <v>2</v>
      </c>
      <c r="L70" s="3">
        <v>280000</v>
      </c>
      <c r="M70" s="3">
        <v>210000</v>
      </c>
      <c r="N70">
        <v>0</v>
      </c>
      <c r="O70" t="s">
        <v>148</v>
      </c>
      <c r="P70" t="s">
        <v>27</v>
      </c>
      <c r="Q70" s="3">
        <f>Table13[[#This Row],[Quantity]]*Table13[[#This Row],[UnitPrice_NGN]]</f>
        <v>560000</v>
      </c>
      <c r="R70" s="9">
        <f>Table13[[#This Row],[GrossRevenue]]*(1-Table13[[#This Row],[DiscountRate]])</f>
        <v>560000</v>
      </c>
      <c r="S70" s="3">
        <f>Table13[[#This Row],[Quantity]]*Table13[[#This Row],[UnitCost_NGN]]</f>
        <v>420000</v>
      </c>
      <c r="T70" s="3">
        <f>Table13[[#This Row],[NetRevenue]]-Table13[[#This Row],[TotalCost]]</f>
        <v>140000</v>
      </c>
      <c r="U70" s="3"/>
    </row>
    <row r="71" spans="1:21" x14ac:dyDescent="0.25">
      <c r="A71" t="s">
        <v>218</v>
      </c>
      <c r="B71" s="20">
        <v>45664</v>
      </c>
      <c r="C71" t="s">
        <v>40</v>
      </c>
      <c r="D71" t="s">
        <v>78</v>
      </c>
      <c r="E71" t="s">
        <v>79</v>
      </c>
      <c r="F71" t="s">
        <v>80</v>
      </c>
      <c r="G71" t="s">
        <v>33</v>
      </c>
      <c r="H71" t="s">
        <v>112</v>
      </c>
      <c r="I71" t="s">
        <v>35</v>
      </c>
      <c r="J71" t="s">
        <v>36</v>
      </c>
      <c r="K71">
        <v>2</v>
      </c>
      <c r="L71" s="3">
        <v>427500</v>
      </c>
      <c r="M71" s="3">
        <v>367500</v>
      </c>
      <c r="N71">
        <v>0</v>
      </c>
      <c r="O71" t="s">
        <v>37</v>
      </c>
      <c r="P71" t="s">
        <v>133</v>
      </c>
      <c r="Q71" s="3">
        <f>Table13[[#This Row],[Quantity]]*Table13[[#This Row],[UnitPrice_NGN]]</f>
        <v>855000</v>
      </c>
      <c r="R71" s="9">
        <f>Table13[[#This Row],[GrossRevenue]]*(1-Table13[[#This Row],[DiscountRate]])</f>
        <v>855000</v>
      </c>
      <c r="S71" s="3">
        <f>Table13[[#This Row],[Quantity]]*Table13[[#This Row],[UnitCost_NGN]]</f>
        <v>735000</v>
      </c>
      <c r="T71" s="3">
        <f>Table13[[#This Row],[NetRevenue]]-Table13[[#This Row],[TotalCost]]</f>
        <v>120000</v>
      </c>
      <c r="U71" s="3"/>
    </row>
    <row r="72" spans="1:21" x14ac:dyDescent="0.25">
      <c r="A72" t="s">
        <v>220</v>
      </c>
      <c r="B72" s="20">
        <v>45691</v>
      </c>
      <c r="C72" t="s">
        <v>40</v>
      </c>
      <c r="D72" t="s">
        <v>157</v>
      </c>
      <c r="E72" t="s">
        <v>158</v>
      </c>
      <c r="F72" t="s">
        <v>21</v>
      </c>
      <c r="G72" t="s">
        <v>22</v>
      </c>
      <c r="H72" t="s">
        <v>23</v>
      </c>
      <c r="I72" t="s">
        <v>105</v>
      </c>
      <c r="J72" t="s">
        <v>71</v>
      </c>
      <c r="K72">
        <v>12</v>
      </c>
      <c r="L72" s="3">
        <v>175000</v>
      </c>
      <c r="M72" s="3">
        <v>126000</v>
      </c>
      <c r="N72">
        <v>0</v>
      </c>
      <c r="O72" t="s">
        <v>148</v>
      </c>
      <c r="P72" t="s">
        <v>72</v>
      </c>
      <c r="Q72" s="3">
        <f>Table13[[#This Row],[Quantity]]*Table13[[#This Row],[UnitPrice_NGN]]</f>
        <v>2100000</v>
      </c>
      <c r="R72" s="9">
        <f>Table13[[#This Row],[GrossRevenue]]*(1-Table13[[#This Row],[DiscountRate]])</f>
        <v>2100000</v>
      </c>
      <c r="S72" s="3">
        <f>Table13[[#This Row],[Quantity]]*Table13[[#This Row],[UnitCost_NGN]]</f>
        <v>1512000</v>
      </c>
      <c r="T72" s="3">
        <f>Table13[[#This Row],[NetRevenue]]-Table13[[#This Row],[TotalCost]]</f>
        <v>588000</v>
      </c>
      <c r="U72" s="3"/>
    </row>
    <row r="73" spans="1:21" x14ac:dyDescent="0.25">
      <c r="A73" t="s">
        <v>222</v>
      </c>
      <c r="B73" s="20">
        <v>45718</v>
      </c>
      <c r="C73" t="s">
        <v>40</v>
      </c>
      <c r="D73" t="s">
        <v>157</v>
      </c>
      <c r="E73" t="s">
        <v>158</v>
      </c>
      <c r="F73" t="s">
        <v>21</v>
      </c>
      <c r="G73" t="s">
        <v>44</v>
      </c>
      <c r="H73" t="s">
        <v>23</v>
      </c>
      <c r="I73" t="s">
        <v>75</v>
      </c>
      <c r="J73" t="s">
        <v>36</v>
      </c>
      <c r="K73">
        <v>6</v>
      </c>
      <c r="L73" s="3">
        <v>180000</v>
      </c>
      <c r="M73" s="3">
        <v>123500</v>
      </c>
      <c r="N73">
        <v>0</v>
      </c>
      <c r="O73" t="s">
        <v>26</v>
      </c>
      <c r="P73" t="s">
        <v>133</v>
      </c>
      <c r="Q73" s="3">
        <f>Table13[[#This Row],[Quantity]]*Table13[[#This Row],[UnitPrice_NGN]]</f>
        <v>1080000</v>
      </c>
      <c r="R73" s="9">
        <f>Table13[[#This Row],[GrossRevenue]]*(1-Table13[[#This Row],[DiscountRate]])</f>
        <v>1080000</v>
      </c>
      <c r="S73" s="3">
        <f>Table13[[#This Row],[Quantity]]*Table13[[#This Row],[UnitCost_NGN]]</f>
        <v>741000</v>
      </c>
      <c r="T73" s="3">
        <f>Table13[[#This Row],[NetRevenue]]-Table13[[#This Row],[TotalCost]]</f>
        <v>339000</v>
      </c>
      <c r="U73" s="3"/>
    </row>
    <row r="74" spans="1:21" x14ac:dyDescent="0.25">
      <c r="A74" t="s">
        <v>224</v>
      </c>
      <c r="B74" s="20">
        <v>45949</v>
      </c>
      <c r="C74" t="s">
        <v>18</v>
      </c>
      <c r="D74" t="s">
        <v>110</v>
      </c>
      <c r="E74" t="s">
        <v>111</v>
      </c>
      <c r="F74" t="s">
        <v>85</v>
      </c>
      <c r="G74" t="s">
        <v>22</v>
      </c>
      <c r="H74" t="s">
        <v>34</v>
      </c>
      <c r="I74" t="s">
        <v>97</v>
      </c>
      <c r="J74" t="s">
        <v>56</v>
      </c>
      <c r="K74">
        <v>2</v>
      </c>
      <c r="L74" s="3">
        <v>125000</v>
      </c>
      <c r="M74" s="3">
        <v>89250</v>
      </c>
      <c r="N74">
        <v>0</v>
      </c>
      <c r="O74" t="s">
        <v>64</v>
      </c>
      <c r="P74" t="s">
        <v>133</v>
      </c>
      <c r="Q74" s="3">
        <f>Table13[[#This Row],[Quantity]]*Table13[[#This Row],[UnitPrice_NGN]]</f>
        <v>250000</v>
      </c>
      <c r="R74" s="9">
        <f>Table13[[#This Row],[GrossRevenue]]*(1-Table13[[#This Row],[DiscountRate]])</f>
        <v>250000</v>
      </c>
      <c r="S74" s="3">
        <f>Table13[[#This Row],[Quantity]]*Table13[[#This Row],[UnitCost_NGN]]</f>
        <v>178500</v>
      </c>
      <c r="T74" s="3">
        <f>Table13[[#This Row],[NetRevenue]]-Table13[[#This Row],[TotalCost]]</f>
        <v>71500</v>
      </c>
      <c r="U74" s="3"/>
    </row>
    <row r="75" spans="1:21" x14ac:dyDescent="0.25">
      <c r="A75" t="s">
        <v>225</v>
      </c>
      <c r="B75" s="20">
        <v>45696</v>
      </c>
      <c r="C75" t="s">
        <v>18</v>
      </c>
      <c r="D75" t="s">
        <v>120</v>
      </c>
      <c r="E75" t="s">
        <v>121</v>
      </c>
      <c r="F75" t="s">
        <v>122</v>
      </c>
      <c r="G75" t="s">
        <v>33</v>
      </c>
      <c r="H75" t="s">
        <v>112</v>
      </c>
      <c r="I75" t="s">
        <v>70</v>
      </c>
      <c r="J75" t="s">
        <v>71</v>
      </c>
      <c r="K75">
        <v>1</v>
      </c>
      <c r="L75" s="3">
        <v>90250</v>
      </c>
      <c r="M75" s="3">
        <v>62000</v>
      </c>
      <c r="N75">
        <v>0.1</v>
      </c>
      <c r="O75" t="s">
        <v>37</v>
      </c>
      <c r="P75" t="s">
        <v>48</v>
      </c>
      <c r="Q75" s="3">
        <f>Table13[[#This Row],[Quantity]]*Table13[[#This Row],[UnitPrice_NGN]]</f>
        <v>90250</v>
      </c>
      <c r="R75" s="9">
        <f>Table13[[#This Row],[GrossRevenue]]*(1-Table13[[#This Row],[DiscountRate]])</f>
        <v>81225</v>
      </c>
      <c r="S75" s="3">
        <f>Table13[[#This Row],[Quantity]]*Table13[[#This Row],[UnitCost_NGN]]</f>
        <v>62000</v>
      </c>
      <c r="T75" s="3">
        <f>Table13[[#This Row],[NetRevenue]]-Table13[[#This Row],[TotalCost]]</f>
        <v>19225</v>
      </c>
      <c r="U75" s="3"/>
    </row>
    <row r="76" spans="1:21" x14ac:dyDescent="0.25">
      <c r="A76" t="s">
        <v>227</v>
      </c>
      <c r="B76" s="20">
        <v>45890</v>
      </c>
      <c r="C76" t="s">
        <v>30</v>
      </c>
      <c r="D76" t="s">
        <v>31</v>
      </c>
      <c r="E76" t="s">
        <v>32</v>
      </c>
      <c r="F76" t="s">
        <v>21</v>
      </c>
      <c r="G76" t="s">
        <v>44</v>
      </c>
      <c r="H76" t="s">
        <v>63</v>
      </c>
      <c r="I76" t="s">
        <v>70</v>
      </c>
      <c r="J76" t="s">
        <v>71</v>
      </c>
      <c r="K76">
        <v>2</v>
      </c>
      <c r="L76" s="3">
        <v>99750</v>
      </c>
      <c r="M76" s="3">
        <v>62000</v>
      </c>
      <c r="N76">
        <v>0.15</v>
      </c>
      <c r="O76" t="s">
        <v>64</v>
      </c>
      <c r="P76" t="s">
        <v>48</v>
      </c>
      <c r="Q76" s="3">
        <f>Table13[[#This Row],[Quantity]]*Table13[[#This Row],[UnitPrice_NGN]]</f>
        <v>199500</v>
      </c>
      <c r="R76" s="9">
        <f>Table13[[#This Row],[GrossRevenue]]*(1-Table13[[#This Row],[DiscountRate]])</f>
        <v>169575</v>
      </c>
      <c r="S76" s="3">
        <f>Table13[[#This Row],[Quantity]]*Table13[[#This Row],[UnitCost_NGN]]</f>
        <v>124000</v>
      </c>
      <c r="T76" s="3">
        <f>Table13[[#This Row],[NetRevenue]]-Table13[[#This Row],[TotalCost]]</f>
        <v>45575</v>
      </c>
      <c r="U76" s="3"/>
    </row>
    <row r="77" spans="1:21" x14ac:dyDescent="0.25">
      <c r="A77" t="s">
        <v>228</v>
      </c>
      <c r="B77" s="20">
        <v>45730</v>
      </c>
      <c r="C77" t="s">
        <v>18</v>
      </c>
      <c r="D77" t="s">
        <v>19</v>
      </c>
      <c r="E77" t="s">
        <v>20</v>
      </c>
      <c r="F77" t="s">
        <v>21</v>
      </c>
      <c r="G77" t="s">
        <v>44</v>
      </c>
      <c r="H77" t="s">
        <v>63</v>
      </c>
      <c r="I77" t="s">
        <v>55</v>
      </c>
      <c r="J77" t="s">
        <v>56</v>
      </c>
      <c r="K77">
        <v>4</v>
      </c>
      <c r="L77" s="3">
        <v>50400</v>
      </c>
      <c r="M77" s="3">
        <v>30000</v>
      </c>
      <c r="N77">
        <v>0</v>
      </c>
      <c r="O77" t="s">
        <v>57</v>
      </c>
      <c r="P77" t="s">
        <v>48</v>
      </c>
      <c r="Q77" s="3">
        <f>Table13[[#This Row],[Quantity]]*Table13[[#This Row],[UnitPrice_NGN]]</f>
        <v>201600</v>
      </c>
      <c r="R77" s="9">
        <f>Table13[[#This Row],[GrossRevenue]]*(1-Table13[[#This Row],[DiscountRate]])</f>
        <v>201600</v>
      </c>
      <c r="S77" s="3">
        <f>Table13[[#This Row],[Quantity]]*Table13[[#This Row],[UnitCost_NGN]]</f>
        <v>120000</v>
      </c>
      <c r="T77" s="3">
        <f>Table13[[#This Row],[NetRevenue]]-Table13[[#This Row],[TotalCost]]</f>
        <v>81600</v>
      </c>
      <c r="U77" s="3"/>
    </row>
    <row r="78" spans="1:21" x14ac:dyDescent="0.25">
      <c r="A78" t="s">
        <v>230</v>
      </c>
      <c r="B78" s="20">
        <v>45914</v>
      </c>
      <c r="C78" t="s">
        <v>40</v>
      </c>
      <c r="D78" t="s">
        <v>19</v>
      </c>
      <c r="E78" t="s">
        <v>20</v>
      </c>
      <c r="F78" t="s">
        <v>21</v>
      </c>
      <c r="G78" t="s">
        <v>33</v>
      </c>
      <c r="H78" t="s">
        <v>96</v>
      </c>
      <c r="I78" t="s">
        <v>97</v>
      </c>
      <c r="J78" t="s">
        <v>56</v>
      </c>
      <c r="K78">
        <v>3</v>
      </c>
      <c r="L78" s="3">
        <v>125000</v>
      </c>
      <c r="M78" s="3">
        <v>89250</v>
      </c>
      <c r="N78">
        <v>0</v>
      </c>
      <c r="O78" t="s">
        <v>148</v>
      </c>
      <c r="P78" t="s">
        <v>133</v>
      </c>
      <c r="Q78" s="3">
        <f>Table13[[#This Row],[Quantity]]*Table13[[#This Row],[UnitPrice_NGN]]</f>
        <v>375000</v>
      </c>
      <c r="R78" s="9">
        <f>Table13[[#This Row],[GrossRevenue]]*(1-Table13[[#This Row],[DiscountRate]])</f>
        <v>375000</v>
      </c>
      <c r="S78" s="3">
        <f>Table13[[#This Row],[Quantity]]*Table13[[#This Row],[UnitCost_NGN]]</f>
        <v>267750</v>
      </c>
      <c r="T78" s="3">
        <f>Table13[[#This Row],[NetRevenue]]-Table13[[#This Row],[TotalCost]]</f>
        <v>107250</v>
      </c>
      <c r="U78" s="3"/>
    </row>
    <row r="79" spans="1:21" x14ac:dyDescent="0.25">
      <c r="A79" t="s">
        <v>232</v>
      </c>
      <c r="B79" s="20">
        <v>45775</v>
      </c>
      <c r="C79" t="s">
        <v>30</v>
      </c>
      <c r="D79" t="s">
        <v>136</v>
      </c>
      <c r="E79" t="s">
        <v>137</v>
      </c>
      <c r="F79" t="s">
        <v>122</v>
      </c>
      <c r="G79" t="s">
        <v>22</v>
      </c>
      <c r="H79" t="s">
        <v>63</v>
      </c>
      <c r="I79" t="s">
        <v>55</v>
      </c>
      <c r="J79" t="s">
        <v>56</v>
      </c>
      <c r="K79">
        <v>2</v>
      </c>
      <c r="L79" s="3">
        <v>48000</v>
      </c>
      <c r="M79" s="3">
        <v>28500</v>
      </c>
      <c r="N79">
        <v>0</v>
      </c>
      <c r="O79" t="s">
        <v>148</v>
      </c>
      <c r="P79" t="s">
        <v>27</v>
      </c>
      <c r="Q79" s="3">
        <f>Table13[[#This Row],[Quantity]]*Table13[[#This Row],[UnitPrice_NGN]]</f>
        <v>96000</v>
      </c>
      <c r="R79" s="9">
        <f>Table13[[#This Row],[GrossRevenue]]*(1-Table13[[#This Row],[DiscountRate]])</f>
        <v>96000</v>
      </c>
      <c r="S79" s="3">
        <f>Table13[[#This Row],[Quantity]]*Table13[[#This Row],[UnitCost_NGN]]</f>
        <v>57000</v>
      </c>
      <c r="T79" s="3">
        <f>Table13[[#This Row],[NetRevenue]]-Table13[[#This Row],[TotalCost]]</f>
        <v>39000</v>
      </c>
      <c r="U79" s="3"/>
    </row>
    <row r="80" spans="1:21" x14ac:dyDescent="0.25">
      <c r="A80" t="s">
        <v>234</v>
      </c>
      <c r="B80" s="20">
        <v>45957</v>
      </c>
      <c r="C80" t="s">
        <v>30</v>
      </c>
      <c r="D80" t="s">
        <v>110</v>
      </c>
      <c r="E80" t="s">
        <v>111</v>
      </c>
      <c r="F80" t="s">
        <v>85</v>
      </c>
      <c r="G80" t="s">
        <v>33</v>
      </c>
      <c r="H80" t="s">
        <v>96</v>
      </c>
      <c r="I80" t="s">
        <v>75</v>
      </c>
      <c r="J80" t="s">
        <v>36</v>
      </c>
      <c r="K80">
        <v>3</v>
      </c>
      <c r="L80" s="3">
        <v>180000</v>
      </c>
      <c r="M80" s="3">
        <v>130000</v>
      </c>
      <c r="N80">
        <v>0</v>
      </c>
      <c r="O80" t="s">
        <v>37</v>
      </c>
      <c r="P80" t="s">
        <v>72</v>
      </c>
      <c r="Q80" s="3">
        <f>Table13[[#This Row],[Quantity]]*Table13[[#This Row],[UnitPrice_NGN]]</f>
        <v>540000</v>
      </c>
      <c r="R80" s="9">
        <f>Table13[[#This Row],[GrossRevenue]]*(1-Table13[[#This Row],[DiscountRate]])</f>
        <v>540000</v>
      </c>
      <c r="S80" s="3">
        <f>Table13[[#This Row],[Quantity]]*Table13[[#This Row],[UnitCost_NGN]]</f>
        <v>390000</v>
      </c>
      <c r="T80" s="3">
        <f>Table13[[#This Row],[NetRevenue]]-Table13[[#This Row],[TotalCost]]</f>
        <v>150000</v>
      </c>
      <c r="U80" s="3"/>
    </row>
    <row r="81" spans="1:21" x14ac:dyDescent="0.25">
      <c r="A81" t="s">
        <v>235</v>
      </c>
      <c r="B81" s="20">
        <v>45826</v>
      </c>
      <c r="C81" t="s">
        <v>30</v>
      </c>
      <c r="D81" t="s">
        <v>83</v>
      </c>
      <c r="E81" t="s">
        <v>84</v>
      </c>
      <c r="F81" t="s">
        <v>85</v>
      </c>
      <c r="G81" t="s">
        <v>33</v>
      </c>
      <c r="H81" t="s">
        <v>63</v>
      </c>
      <c r="I81" t="s">
        <v>105</v>
      </c>
      <c r="J81" t="s">
        <v>71</v>
      </c>
      <c r="K81">
        <v>2</v>
      </c>
      <c r="L81" s="3">
        <v>183750</v>
      </c>
      <c r="M81" s="3">
        <v>114000</v>
      </c>
      <c r="N81">
        <v>0</v>
      </c>
      <c r="O81" t="s">
        <v>26</v>
      </c>
      <c r="P81" t="s">
        <v>72</v>
      </c>
      <c r="Q81" s="3">
        <f>Table13[[#This Row],[Quantity]]*Table13[[#This Row],[UnitPrice_NGN]]</f>
        <v>367500</v>
      </c>
      <c r="R81" s="9">
        <f>Table13[[#This Row],[GrossRevenue]]*(1-Table13[[#This Row],[DiscountRate]])</f>
        <v>367500</v>
      </c>
      <c r="S81" s="3">
        <f>Table13[[#This Row],[Quantity]]*Table13[[#This Row],[UnitCost_NGN]]</f>
        <v>228000</v>
      </c>
      <c r="T81" s="3">
        <f>Table13[[#This Row],[NetRevenue]]-Table13[[#This Row],[TotalCost]]</f>
        <v>139500</v>
      </c>
      <c r="U81" s="3"/>
    </row>
    <row r="82" spans="1:21" x14ac:dyDescent="0.25">
      <c r="A82" t="s">
        <v>237</v>
      </c>
      <c r="B82" s="20">
        <v>45717</v>
      </c>
      <c r="C82" t="s">
        <v>30</v>
      </c>
      <c r="D82" t="s">
        <v>31</v>
      </c>
      <c r="E82" t="s">
        <v>32</v>
      </c>
      <c r="F82" t="s">
        <v>21</v>
      </c>
      <c r="G82" t="s">
        <v>22</v>
      </c>
      <c r="H82" t="s">
        <v>23</v>
      </c>
      <c r="I82" t="s">
        <v>93</v>
      </c>
      <c r="J82" t="s">
        <v>46</v>
      </c>
      <c r="K82">
        <v>3</v>
      </c>
      <c r="L82" s="3">
        <v>95000</v>
      </c>
      <c r="M82" s="3">
        <v>82000</v>
      </c>
      <c r="N82">
        <v>0</v>
      </c>
      <c r="O82" t="s">
        <v>37</v>
      </c>
      <c r="P82" t="s">
        <v>72</v>
      </c>
      <c r="Q82" s="3">
        <f>Table13[[#This Row],[Quantity]]*Table13[[#This Row],[UnitPrice_NGN]]</f>
        <v>285000</v>
      </c>
      <c r="R82" s="9">
        <f>Table13[[#This Row],[GrossRevenue]]*(1-Table13[[#This Row],[DiscountRate]])</f>
        <v>285000</v>
      </c>
      <c r="S82" s="3">
        <f>Table13[[#This Row],[Quantity]]*Table13[[#This Row],[UnitCost_NGN]]</f>
        <v>246000</v>
      </c>
      <c r="T82" s="3">
        <f>Table13[[#This Row],[NetRevenue]]-Table13[[#This Row],[TotalCost]]</f>
        <v>39000</v>
      </c>
      <c r="U82" s="3"/>
    </row>
    <row r="83" spans="1:21" x14ac:dyDescent="0.25">
      <c r="A83" t="s">
        <v>239</v>
      </c>
      <c r="B83" s="20">
        <v>45884</v>
      </c>
      <c r="C83" t="s">
        <v>18</v>
      </c>
      <c r="D83" t="s">
        <v>31</v>
      </c>
      <c r="E83" t="s">
        <v>32</v>
      </c>
      <c r="F83" t="s">
        <v>21</v>
      </c>
      <c r="G83" t="s">
        <v>62</v>
      </c>
      <c r="H83" t="s">
        <v>23</v>
      </c>
      <c r="I83" t="s">
        <v>55</v>
      </c>
      <c r="J83" t="s">
        <v>56</v>
      </c>
      <c r="K83">
        <v>2</v>
      </c>
      <c r="L83" s="3">
        <v>48000</v>
      </c>
      <c r="M83" s="3">
        <v>31500</v>
      </c>
      <c r="N83">
        <v>0.15</v>
      </c>
      <c r="O83" t="s">
        <v>90</v>
      </c>
      <c r="P83" t="s">
        <v>48</v>
      </c>
      <c r="Q83" s="3">
        <f>Table13[[#This Row],[Quantity]]*Table13[[#This Row],[UnitPrice_NGN]]</f>
        <v>96000</v>
      </c>
      <c r="R83" s="9">
        <f>Table13[[#This Row],[GrossRevenue]]*(1-Table13[[#This Row],[DiscountRate]])</f>
        <v>81600</v>
      </c>
      <c r="S83" s="3">
        <f>Table13[[#This Row],[Quantity]]*Table13[[#This Row],[UnitCost_NGN]]</f>
        <v>63000</v>
      </c>
      <c r="T83" s="3">
        <f>Table13[[#This Row],[NetRevenue]]-Table13[[#This Row],[TotalCost]]</f>
        <v>18600</v>
      </c>
      <c r="U83" s="3"/>
    </row>
    <row r="84" spans="1:21" x14ac:dyDescent="0.25">
      <c r="A84" t="s">
        <v>240</v>
      </c>
      <c r="B84" s="20">
        <v>45980</v>
      </c>
      <c r="C84" t="s">
        <v>18</v>
      </c>
      <c r="D84" t="s">
        <v>110</v>
      </c>
      <c r="E84" t="s">
        <v>111</v>
      </c>
      <c r="F84" t="s">
        <v>85</v>
      </c>
      <c r="G84" t="s">
        <v>44</v>
      </c>
      <c r="H84" t="s">
        <v>63</v>
      </c>
      <c r="I84" t="s">
        <v>70</v>
      </c>
      <c r="J84" t="s">
        <v>71</v>
      </c>
      <c r="K84">
        <v>10</v>
      </c>
      <c r="L84" s="3">
        <v>95000</v>
      </c>
      <c r="M84" s="3">
        <v>58900</v>
      </c>
      <c r="N84">
        <v>0</v>
      </c>
      <c r="O84" t="s">
        <v>148</v>
      </c>
      <c r="P84" t="s">
        <v>133</v>
      </c>
      <c r="Q84" s="3">
        <f>Table13[[#This Row],[Quantity]]*Table13[[#This Row],[UnitPrice_NGN]]</f>
        <v>950000</v>
      </c>
      <c r="R84" s="9">
        <f>Table13[[#This Row],[GrossRevenue]]*(1-Table13[[#This Row],[DiscountRate]])</f>
        <v>950000</v>
      </c>
      <c r="S84" s="3">
        <f>Table13[[#This Row],[Quantity]]*Table13[[#This Row],[UnitCost_NGN]]</f>
        <v>589000</v>
      </c>
      <c r="T84" s="3">
        <f>Table13[[#This Row],[NetRevenue]]-Table13[[#This Row],[TotalCost]]</f>
        <v>361000</v>
      </c>
      <c r="U84" s="3"/>
    </row>
    <row r="85" spans="1:21" x14ac:dyDescent="0.25">
      <c r="A85" t="s">
        <v>242</v>
      </c>
      <c r="B85" s="20">
        <v>45718</v>
      </c>
      <c r="C85" t="s">
        <v>18</v>
      </c>
      <c r="D85" t="s">
        <v>83</v>
      </c>
      <c r="E85" t="s">
        <v>84</v>
      </c>
      <c r="F85" t="s">
        <v>85</v>
      </c>
      <c r="G85" t="s">
        <v>33</v>
      </c>
      <c r="H85" t="s">
        <v>63</v>
      </c>
      <c r="I85" t="s">
        <v>93</v>
      </c>
      <c r="J85" t="s">
        <v>46</v>
      </c>
      <c r="K85">
        <v>1</v>
      </c>
      <c r="L85" s="3">
        <v>104500</v>
      </c>
      <c r="M85" s="3">
        <v>77900</v>
      </c>
      <c r="N85">
        <v>0.05</v>
      </c>
      <c r="O85" t="s">
        <v>57</v>
      </c>
      <c r="P85" t="s">
        <v>27</v>
      </c>
      <c r="Q85" s="3">
        <f>Table13[[#This Row],[Quantity]]*Table13[[#This Row],[UnitPrice_NGN]]</f>
        <v>104500</v>
      </c>
      <c r="R85" s="9">
        <f>Table13[[#This Row],[GrossRevenue]]*(1-Table13[[#This Row],[DiscountRate]])</f>
        <v>99275</v>
      </c>
      <c r="S85" s="3">
        <f>Table13[[#This Row],[Quantity]]*Table13[[#This Row],[UnitCost_NGN]]</f>
        <v>77900</v>
      </c>
      <c r="T85" s="3">
        <f>Table13[[#This Row],[NetRevenue]]-Table13[[#This Row],[TotalCost]]</f>
        <v>21375</v>
      </c>
      <c r="U85" s="3"/>
    </row>
    <row r="86" spans="1:21" x14ac:dyDescent="0.25">
      <c r="A86" t="s">
        <v>243</v>
      </c>
      <c r="B86" s="20">
        <v>45732</v>
      </c>
      <c r="C86" t="s">
        <v>18</v>
      </c>
      <c r="D86" t="s">
        <v>110</v>
      </c>
      <c r="E86" t="s">
        <v>111</v>
      </c>
      <c r="F86" t="s">
        <v>85</v>
      </c>
      <c r="G86" t="s">
        <v>44</v>
      </c>
      <c r="H86" t="s">
        <v>96</v>
      </c>
      <c r="I86" t="s">
        <v>55</v>
      </c>
      <c r="J86" t="s">
        <v>56</v>
      </c>
      <c r="K86">
        <v>15</v>
      </c>
      <c r="L86" s="3">
        <v>45600</v>
      </c>
      <c r="M86" s="3">
        <v>31500</v>
      </c>
      <c r="N86">
        <v>0.1</v>
      </c>
      <c r="O86" t="s">
        <v>57</v>
      </c>
      <c r="P86" t="s">
        <v>72</v>
      </c>
      <c r="Q86" s="3">
        <f>Table13[[#This Row],[Quantity]]*Table13[[#This Row],[UnitPrice_NGN]]</f>
        <v>684000</v>
      </c>
      <c r="R86" s="9">
        <f>Table13[[#This Row],[GrossRevenue]]*(1-Table13[[#This Row],[DiscountRate]])</f>
        <v>615600</v>
      </c>
      <c r="S86" s="3">
        <f>Table13[[#This Row],[Quantity]]*Table13[[#This Row],[UnitCost_NGN]]</f>
        <v>472500</v>
      </c>
      <c r="T86" s="3">
        <f>Table13[[#This Row],[NetRevenue]]-Table13[[#This Row],[TotalCost]]</f>
        <v>143100</v>
      </c>
      <c r="U86" s="3"/>
    </row>
    <row r="87" spans="1:21" x14ac:dyDescent="0.25">
      <c r="A87" t="s">
        <v>245</v>
      </c>
      <c r="B87" s="20">
        <v>45802</v>
      </c>
      <c r="C87" t="s">
        <v>40</v>
      </c>
      <c r="D87" t="s">
        <v>88</v>
      </c>
      <c r="E87" t="s">
        <v>89</v>
      </c>
      <c r="F87" t="s">
        <v>43</v>
      </c>
      <c r="G87" t="s">
        <v>33</v>
      </c>
      <c r="H87" t="s">
        <v>34</v>
      </c>
      <c r="I87" t="s">
        <v>55</v>
      </c>
      <c r="J87" t="s">
        <v>56</v>
      </c>
      <c r="K87">
        <v>12</v>
      </c>
      <c r="L87" s="3">
        <v>48000</v>
      </c>
      <c r="M87" s="3">
        <v>30000</v>
      </c>
      <c r="N87">
        <v>0</v>
      </c>
      <c r="O87" t="s">
        <v>37</v>
      </c>
      <c r="P87" t="s">
        <v>27</v>
      </c>
      <c r="Q87" s="3">
        <f>Table13[[#This Row],[Quantity]]*Table13[[#This Row],[UnitPrice_NGN]]</f>
        <v>576000</v>
      </c>
      <c r="R87" s="9">
        <f>Table13[[#This Row],[GrossRevenue]]*(1-Table13[[#This Row],[DiscountRate]])</f>
        <v>576000</v>
      </c>
      <c r="S87" s="3">
        <f>Table13[[#This Row],[Quantity]]*Table13[[#This Row],[UnitCost_NGN]]</f>
        <v>360000</v>
      </c>
      <c r="T87" s="3">
        <f>Table13[[#This Row],[NetRevenue]]-Table13[[#This Row],[TotalCost]]</f>
        <v>216000</v>
      </c>
      <c r="U87" s="3"/>
    </row>
    <row r="88" spans="1:21" x14ac:dyDescent="0.25">
      <c r="A88" t="s">
        <v>247</v>
      </c>
      <c r="B88" s="20">
        <v>45822</v>
      </c>
      <c r="C88" t="s">
        <v>30</v>
      </c>
      <c r="D88" t="s">
        <v>110</v>
      </c>
      <c r="E88" t="s">
        <v>111</v>
      </c>
      <c r="F88" t="s">
        <v>85</v>
      </c>
      <c r="G88" t="s">
        <v>44</v>
      </c>
      <c r="H88" t="s">
        <v>23</v>
      </c>
      <c r="I88" t="s">
        <v>93</v>
      </c>
      <c r="J88" t="s">
        <v>46</v>
      </c>
      <c r="K88">
        <v>2</v>
      </c>
      <c r="L88" s="3">
        <v>95000</v>
      </c>
      <c r="M88" s="3">
        <v>86100</v>
      </c>
      <c r="N88">
        <v>0.05</v>
      </c>
      <c r="O88" t="s">
        <v>26</v>
      </c>
      <c r="P88" t="s">
        <v>48</v>
      </c>
      <c r="Q88" s="3">
        <f>Table13[[#This Row],[Quantity]]*Table13[[#This Row],[UnitPrice_NGN]]</f>
        <v>190000</v>
      </c>
      <c r="R88" s="9">
        <f>Table13[[#This Row],[GrossRevenue]]*(1-Table13[[#This Row],[DiscountRate]])</f>
        <v>180500</v>
      </c>
      <c r="S88" s="3">
        <f>Table13[[#This Row],[Quantity]]*Table13[[#This Row],[UnitCost_NGN]]</f>
        <v>172200</v>
      </c>
      <c r="T88" s="3">
        <f>Table13[[#This Row],[NetRevenue]]-Table13[[#This Row],[TotalCost]]</f>
        <v>8300</v>
      </c>
      <c r="U88" s="3"/>
    </row>
    <row r="89" spans="1:21" x14ac:dyDescent="0.25">
      <c r="A89" t="s">
        <v>249</v>
      </c>
      <c r="B89" s="20">
        <v>45853</v>
      </c>
      <c r="C89" t="s">
        <v>30</v>
      </c>
      <c r="D89" t="s">
        <v>83</v>
      </c>
      <c r="E89" t="s">
        <v>84</v>
      </c>
      <c r="F89" t="s">
        <v>85</v>
      </c>
      <c r="G89" t="s">
        <v>44</v>
      </c>
      <c r="H89" t="s">
        <v>112</v>
      </c>
      <c r="I89" t="s">
        <v>113</v>
      </c>
      <c r="J89" t="s">
        <v>36</v>
      </c>
      <c r="K89">
        <v>1</v>
      </c>
      <c r="L89" s="3">
        <v>168000</v>
      </c>
      <c r="M89" s="3">
        <v>120750</v>
      </c>
      <c r="N89">
        <v>0.15</v>
      </c>
      <c r="O89" t="s">
        <v>148</v>
      </c>
      <c r="P89" t="s">
        <v>72</v>
      </c>
      <c r="Q89" s="3">
        <f>Table13[[#This Row],[Quantity]]*Table13[[#This Row],[UnitPrice_NGN]]</f>
        <v>168000</v>
      </c>
      <c r="R89" s="9">
        <f>Table13[[#This Row],[GrossRevenue]]*(1-Table13[[#This Row],[DiscountRate]])</f>
        <v>142800</v>
      </c>
      <c r="S89" s="3">
        <f>Table13[[#This Row],[Quantity]]*Table13[[#This Row],[UnitCost_NGN]]</f>
        <v>120750</v>
      </c>
      <c r="T89" s="3">
        <f>Table13[[#This Row],[NetRevenue]]-Table13[[#This Row],[TotalCost]]</f>
        <v>22050</v>
      </c>
      <c r="U89" s="3"/>
    </row>
    <row r="90" spans="1:21" x14ac:dyDescent="0.25">
      <c r="A90" t="s">
        <v>251</v>
      </c>
      <c r="B90" s="20">
        <v>45709</v>
      </c>
      <c r="C90" t="s">
        <v>40</v>
      </c>
      <c r="D90" t="s">
        <v>78</v>
      </c>
      <c r="E90" t="s">
        <v>79</v>
      </c>
      <c r="F90" t="s">
        <v>80</v>
      </c>
      <c r="G90" t="s">
        <v>22</v>
      </c>
      <c r="H90" t="s">
        <v>34</v>
      </c>
      <c r="I90" t="s">
        <v>75</v>
      </c>
      <c r="J90" t="s">
        <v>36</v>
      </c>
      <c r="K90">
        <v>12</v>
      </c>
      <c r="L90" s="3">
        <v>180000</v>
      </c>
      <c r="M90" s="3">
        <v>123500</v>
      </c>
      <c r="N90">
        <v>0.05</v>
      </c>
      <c r="O90" t="s">
        <v>26</v>
      </c>
      <c r="P90" t="s">
        <v>133</v>
      </c>
      <c r="Q90" s="3">
        <f>Table13[[#This Row],[Quantity]]*Table13[[#This Row],[UnitPrice_NGN]]</f>
        <v>2160000</v>
      </c>
      <c r="R90" s="9">
        <f>Table13[[#This Row],[GrossRevenue]]*(1-Table13[[#This Row],[DiscountRate]])</f>
        <v>2052000</v>
      </c>
      <c r="S90" s="3">
        <f>Table13[[#This Row],[Quantity]]*Table13[[#This Row],[UnitCost_NGN]]</f>
        <v>1482000</v>
      </c>
      <c r="T90" s="3">
        <f>Table13[[#This Row],[NetRevenue]]-Table13[[#This Row],[TotalCost]]</f>
        <v>570000</v>
      </c>
      <c r="U90" s="3"/>
    </row>
    <row r="91" spans="1:21" x14ac:dyDescent="0.25">
      <c r="A91" t="s">
        <v>253</v>
      </c>
      <c r="B91" s="20">
        <v>45977</v>
      </c>
      <c r="C91" t="s">
        <v>40</v>
      </c>
      <c r="D91" t="s">
        <v>157</v>
      </c>
      <c r="E91" t="s">
        <v>158</v>
      </c>
      <c r="F91" t="s">
        <v>21</v>
      </c>
      <c r="G91" t="s">
        <v>22</v>
      </c>
      <c r="H91" t="s">
        <v>63</v>
      </c>
      <c r="I91" t="s">
        <v>24</v>
      </c>
      <c r="J91" t="s">
        <v>25</v>
      </c>
      <c r="K91">
        <v>1</v>
      </c>
      <c r="L91" s="3">
        <v>24200</v>
      </c>
      <c r="M91" s="3">
        <v>13000</v>
      </c>
      <c r="N91">
        <v>0</v>
      </c>
      <c r="O91" t="s">
        <v>26</v>
      </c>
      <c r="P91" t="s">
        <v>27</v>
      </c>
      <c r="Q91" s="3">
        <f>Table13[[#This Row],[Quantity]]*Table13[[#This Row],[UnitPrice_NGN]]</f>
        <v>24200</v>
      </c>
      <c r="R91" s="9">
        <f>Table13[[#This Row],[GrossRevenue]]*(1-Table13[[#This Row],[DiscountRate]])</f>
        <v>24200</v>
      </c>
      <c r="S91" s="3">
        <f>Table13[[#This Row],[Quantity]]*Table13[[#This Row],[UnitCost_NGN]]</f>
        <v>13000</v>
      </c>
      <c r="T91" s="3">
        <f>Table13[[#This Row],[NetRevenue]]-Table13[[#This Row],[TotalCost]]</f>
        <v>11200</v>
      </c>
      <c r="U91" s="3"/>
    </row>
    <row r="92" spans="1:21" x14ac:dyDescent="0.25">
      <c r="A92" t="s">
        <v>255</v>
      </c>
      <c r="B92" s="20">
        <v>45676</v>
      </c>
      <c r="C92" t="s">
        <v>18</v>
      </c>
      <c r="D92" t="s">
        <v>120</v>
      </c>
      <c r="E92" t="s">
        <v>121</v>
      </c>
      <c r="F92" t="s">
        <v>122</v>
      </c>
      <c r="G92" t="s">
        <v>44</v>
      </c>
      <c r="H92" t="s">
        <v>63</v>
      </c>
      <c r="I92" t="s">
        <v>105</v>
      </c>
      <c r="J92" t="s">
        <v>71</v>
      </c>
      <c r="K92">
        <v>5</v>
      </c>
      <c r="L92" s="3">
        <v>192500</v>
      </c>
      <c r="M92" s="3">
        <v>126000</v>
      </c>
      <c r="N92">
        <v>0.1</v>
      </c>
      <c r="O92" t="s">
        <v>64</v>
      </c>
      <c r="P92" t="s">
        <v>133</v>
      </c>
      <c r="Q92" s="3">
        <f>Table13[[#This Row],[Quantity]]*Table13[[#This Row],[UnitPrice_NGN]]</f>
        <v>962500</v>
      </c>
      <c r="R92" s="9">
        <f>Table13[[#This Row],[GrossRevenue]]*(1-Table13[[#This Row],[DiscountRate]])</f>
        <v>866250</v>
      </c>
      <c r="S92" s="3">
        <f>Table13[[#This Row],[Quantity]]*Table13[[#This Row],[UnitCost_NGN]]</f>
        <v>630000</v>
      </c>
      <c r="T92" s="3">
        <f>Table13[[#This Row],[NetRevenue]]-Table13[[#This Row],[TotalCost]]</f>
        <v>236250</v>
      </c>
      <c r="U92" s="3"/>
    </row>
    <row r="93" spans="1:21" x14ac:dyDescent="0.25">
      <c r="A93" t="s">
        <v>256</v>
      </c>
      <c r="B93" s="20">
        <v>45743</v>
      </c>
      <c r="C93" t="s">
        <v>40</v>
      </c>
      <c r="D93" t="s">
        <v>19</v>
      </c>
      <c r="E93" t="s">
        <v>20</v>
      </c>
      <c r="F93" t="s">
        <v>21</v>
      </c>
      <c r="G93" t="s">
        <v>22</v>
      </c>
      <c r="H93" t="s">
        <v>96</v>
      </c>
      <c r="I93" t="s">
        <v>102</v>
      </c>
      <c r="J93" t="s">
        <v>25</v>
      </c>
      <c r="K93">
        <v>3</v>
      </c>
      <c r="L93" s="3">
        <v>37800</v>
      </c>
      <c r="M93" s="3">
        <v>24700</v>
      </c>
      <c r="N93">
        <v>0.05</v>
      </c>
      <c r="O93" t="s">
        <v>47</v>
      </c>
      <c r="P93" t="s">
        <v>27</v>
      </c>
      <c r="Q93" s="3">
        <f>Table13[[#This Row],[Quantity]]*Table13[[#This Row],[UnitPrice_NGN]]</f>
        <v>113400</v>
      </c>
      <c r="R93" s="9">
        <f>Table13[[#This Row],[GrossRevenue]]*(1-Table13[[#This Row],[DiscountRate]])</f>
        <v>107730</v>
      </c>
      <c r="S93" s="3">
        <f>Table13[[#This Row],[Quantity]]*Table13[[#This Row],[UnitCost_NGN]]</f>
        <v>74100</v>
      </c>
      <c r="T93" s="3">
        <f>Table13[[#This Row],[NetRevenue]]-Table13[[#This Row],[TotalCost]]</f>
        <v>33630</v>
      </c>
      <c r="U93" s="3"/>
    </row>
    <row r="94" spans="1:21" x14ac:dyDescent="0.25">
      <c r="A94" t="s">
        <v>258</v>
      </c>
      <c r="B94" s="20">
        <v>45929</v>
      </c>
      <c r="C94" t="s">
        <v>30</v>
      </c>
      <c r="D94" t="s">
        <v>41</v>
      </c>
      <c r="E94" t="s">
        <v>42</v>
      </c>
      <c r="F94" t="s">
        <v>43</v>
      </c>
      <c r="G94" t="s">
        <v>44</v>
      </c>
      <c r="H94" t="s">
        <v>34</v>
      </c>
      <c r="I94" t="s">
        <v>35</v>
      </c>
      <c r="J94" t="s">
        <v>36</v>
      </c>
      <c r="K94">
        <v>2</v>
      </c>
      <c r="L94" s="3">
        <v>450000</v>
      </c>
      <c r="M94" s="3">
        <v>350000</v>
      </c>
      <c r="N94">
        <v>0</v>
      </c>
      <c r="O94" t="s">
        <v>90</v>
      </c>
      <c r="P94" t="s">
        <v>72</v>
      </c>
      <c r="Q94" s="3">
        <f>Table13[[#This Row],[Quantity]]*Table13[[#This Row],[UnitPrice_NGN]]</f>
        <v>900000</v>
      </c>
      <c r="R94" s="9">
        <f>Table13[[#This Row],[GrossRevenue]]*(1-Table13[[#This Row],[DiscountRate]])</f>
        <v>900000</v>
      </c>
      <c r="S94" s="3">
        <f>Table13[[#This Row],[Quantity]]*Table13[[#This Row],[UnitCost_NGN]]</f>
        <v>700000</v>
      </c>
      <c r="T94" s="3">
        <f>Table13[[#This Row],[NetRevenue]]-Table13[[#This Row],[TotalCost]]</f>
        <v>200000</v>
      </c>
      <c r="U94" s="3"/>
    </row>
    <row r="95" spans="1:21" x14ac:dyDescent="0.25">
      <c r="A95" t="s">
        <v>260</v>
      </c>
      <c r="B95" s="20">
        <v>45956</v>
      </c>
      <c r="C95" t="s">
        <v>18</v>
      </c>
      <c r="D95" t="s">
        <v>131</v>
      </c>
      <c r="E95" t="s">
        <v>132</v>
      </c>
      <c r="F95" t="s">
        <v>80</v>
      </c>
      <c r="G95" t="s">
        <v>33</v>
      </c>
      <c r="H95" t="s">
        <v>63</v>
      </c>
      <c r="I95" t="s">
        <v>51</v>
      </c>
      <c r="J95" t="s">
        <v>36</v>
      </c>
      <c r="K95">
        <v>8</v>
      </c>
      <c r="L95" s="3">
        <v>280000</v>
      </c>
      <c r="M95" s="3">
        <v>210000</v>
      </c>
      <c r="N95">
        <v>0.05</v>
      </c>
      <c r="O95" t="s">
        <v>37</v>
      </c>
      <c r="P95" t="s">
        <v>48</v>
      </c>
      <c r="Q95" s="3">
        <f>Table13[[#This Row],[Quantity]]*Table13[[#This Row],[UnitPrice_NGN]]</f>
        <v>2240000</v>
      </c>
      <c r="R95" s="9">
        <f>Table13[[#This Row],[GrossRevenue]]*(1-Table13[[#This Row],[DiscountRate]])</f>
        <v>2128000</v>
      </c>
      <c r="S95" s="3">
        <f>Table13[[#This Row],[Quantity]]*Table13[[#This Row],[UnitCost_NGN]]</f>
        <v>1680000</v>
      </c>
      <c r="T95" s="3">
        <f>Table13[[#This Row],[NetRevenue]]-Table13[[#This Row],[TotalCost]]</f>
        <v>448000</v>
      </c>
      <c r="U95" s="3"/>
    </row>
    <row r="96" spans="1:21" x14ac:dyDescent="0.25">
      <c r="A96" t="s">
        <v>261</v>
      </c>
      <c r="B96" s="20">
        <v>46004</v>
      </c>
      <c r="C96" t="s">
        <v>18</v>
      </c>
      <c r="D96" t="s">
        <v>120</v>
      </c>
      <c r="E96" t="s">
        <v>121</v>
      </c>
      <c r="F96" t="s">
        <v>122</v>
      </c>
      <c r="G96" t="s">
        <v>22</v>
      </c>
      <c r="H96" t="s">
        <v>112</v>
      </c>
      <c r="I96" t="s">
        <v>70</v>
      </c>
      <c r="J96" t="s">
        <v>71</v>
      </c>
      <c r="K96">
        <v>1</v>
      </c>
      <c r="L96" s="3">
        <v>104500</v>
      </c>
      <c r="M96" s="3">
        <v>65100</v>
      </c>
      <c r="N96">
        <v>0</v>
      </c>
      <c r="O96" t="s">
        <v>47</v>
      </c>
      <c r="P96" t="s">
        <v>133</v>
      </c>
      <c r="Q96" s="3">
        <f>Table13[[#This Row],[Quantity]]*Table13[[#This Row],[UnitPrice_NGN]]</f>
        <v>104500</v>
      </c>
      <c r="R96" s="9">
        <f>Table13[[#This Row],[GrossRevenue]]*(1-Table13[[#This Row],[DiscountRate]])</f>
        <v>104500</v>
      </c>
      <c r="S96" s="3">
        <f>Table13[[#This Row],[Quantity]]*Table13[[#This Row],[UnitCost_NGN]]</f>
        <v>65100</v>
      </c>
      <c r="T96" s="3">
        <f>Table13[[#This Row],[NetRevenue]]-Table13[[#This Row],[TotalCost]]</f>
        <v>39400</v>
      </c>
      <c r="U96" s="3"/>
    </row>
    <row r="97" spans="1:21" x14ac:dyDescent="0.25">
      <c r="A97" t="s">
        <v>263</v>
      </c>
      <c r="B97" s="20">
        <v>45812</v>
      </c>
      <c r="C97" t="s">
        <v>40</v>
      </c>
      <c r="D97" t="s">
        <v>41</v>
      </c>
      <c r="E97" t="s">
        <v>42</v>
      </c>
      <c r="F97" t="s">
        <v>43</v>
      </c>
      <c r="G97" t="s">
        <v>33</v>
      </c>
      <c r="H97" t="s">
        <v>96</v>
      </c>
      <c r="I97" t="s">
        <v>45</v>
      </c>
      <c r="J97" t="s">
        <v>46</v>
      </c>
      <c r="K97">
        <v>4</v>
      </c>
      <c r="L97" s="3">
        <v>18500</v>
      </c>
      <c r="M97" s="3">
        <v>14500</v>
      </c>
      <c r="N97">
        <v>0.05</v>
      </c>
      <c r="O97" t="s">
        <v>64</v>
      </c>
      <c r="P97" t="s">
        <v>48</v>
      </c>
      <c r="Q97" s="3">
        <f>Table13[[#This Row],[Quantity]]*Table13[[#This Row],[UnitPrice_NGN]]</f>
        <v>74000</v>
      </c>
      <c r="R97" s="9">
        <f>Table13[[#This Row],[GrossRevenue]]*(1-Table13[[#This Row],[DiscountRate]])</f>
        <v>70300</v>
      </c>
      <c r="S97" s="3">
        <f>Table13[[#This Row],[Quantity]]*Table13[[#This Row],[UnitCost_NGN]]</f>
        <v>58000</v>
      </c>
      <c r="T97" s="3">
        <f>Table13[[#This Row],[NetRevenue]]-Table13[[#This Row],[TotalCost]]</f>
        <v>12300</v>
      </c>
      <c r="U97" s="3"/>
    </row>
    <row r="98" spans="1:21" x14ac:dyDescent="0.25">
      <c r="A98" t="s">
        <v>265</v>
      </c>
      <c r="B98" s="20">
        <v>45995</v>
      </c>
      <c r="C98" t="s">
        <v>40</v>
      </c>
      <c r="D98" t="s">
        <v>131</v>
      </c>
      <c r="E98" t="s">
        <v>132</v>
      </c>
      <c r="F98" t="s">
        <v>80</v>
      </c>
      <c r="G98" t="s">
        <v>22</v>
      </c>
      <c r="H98" t="s">
        <v>23</v>
      </c>
      <c r="I98" t="s">
        <v>55</v>
      </c>
      <c r="J98" t="s">
        <v>56</v>
      </c>
      <c r="K98">
        <v>2</v>
      </c>
      <c r="L98" s="3">
        <v>48000</v>
      </c>
      <c r="M98" s="3">
        <v>30000</v>
      </c>
      <c r="N98">
        <v>0</v>
      </c>
      <c r="O98" t="s">
        <v>148</v>
      </c>
      <c r="P98" t="s">
        <v>72</v>
      </c>
      <c r="Q98" s="3">
        <f>Table13[[#This Row],[Quantity]]*Table13[[#This Row],[UnitPrice_NGN]]</f>
        <v>96000</v>
      </c>
      <c r="R98" s="9">
        <f>Table13[[#This Row],[GrossRevenue]]*(1-Table13[[#This Row],[DiscountRate]])</f>
        <v>96000</v>
      </c>
      <c r="S98" s="3">
        <f>Table13[[#This Row],[Quantity]]*Table13[[#This Row],[UnitCost_NGN]]</f>
        <v>60000</v>
      </c>
      <c r="T98" s="3">
        <f>Table13[[#This Row],[NetRevenue]]-Table13[[#This Row],[TotalCost]]</f>
        <v>36000</v>
      </c>
      <c r="U98" s="3"/>
    </row>
    <row r="99" spans="1:21" x14ac:dyDescent="0.25">
      <c r="A99" t="s">
        <v>266</v>
      </c>
      <c r="B99" s="20">
        <v>45838</v>
      </c>
      <c r="C99" t="s">
        <v>30</v>
      </c>
      <c r="D99" t="s">
        <v>136</v>
      </c>
      <c r="E99" t="s">
        <v>137</v>
      </c>
      <c r="F99" t="s">
        <v>122</v>
      </c>
      <c r="G99" t="s">
        <v>44</v>
      </c>
      <c r="H99" t="s">
        <v>23</v>
      </c>
      <c r="I99" t="s">
        <v>45</v>
      </c>
      <c r="J99" t="s">
        <v>46</v>
      </c>
      <c r="K99">
        <v>3</v>
      </c>
      <c r="L99" s="3">
        <v>18500</v>
      </c>
      <c r="M99" s="3">
        <v>14500</v>
      </c>
      <c r="N99">
        <v>0.1</v>
      </c>
      <c r="O99" t="s">
        <v>57</v>
      </c>
      <c r="P99" t="s">
        <v>48</v>
      </c>
      <c r="Q99" s="3">
        <f>Table13[[#This Row],[Quantity]]*Table13[[#This Row],[UnitPrice_NGN]]</f>
        <v>55500</v>
      </c>
      <c r="R99" s="9">
        <f>Table13[[#This Row],[GrossRevenue]]*(1-Table13[[#This Row],[DiscountRate]])</f>
        <v>49950</v>
      </c>
      <c r="S99" s="3">
        <f>Table13[[#This Row],[Quantity]]*Table13[[#This Row],[UnitCost_NGN]]</f>
        <v>43500</v>
      </c>
      <c r="T99" s="3">
        <f>Table13[[#This Row],[NetRevenue]]-Table13[[#This Row],[TotalCost]]</f>
        <v>6450</v>
      </c>
      <c r="U99" s="3"/>
    </row>
    <row r="100" spans="1:21" x14ac:dyDescent="0.25">
      <c r="A100" t="s">
        <v>268</v>
      </c>
      <c r="B100" s="20">
        <v>45707</v>
      </c>
      <c r="C100" t="s">
        <v>30</v>
      </c>
      <c r="D100" t="s">
        <v>136</v>
      </c>
      <c r="E100" t="s">
        <v>137</v>
      </c>
      <c r="F100" t="s">
        <v>122</v>
      </c>
      <c r="G100" t="s">
        <v>22</v>
      </c>
      <c r="H100" t="s">
        <v>63</v>
      </c>
      <c r="I100" t="s">
        <v>24</v>
      </c>
      <c r="J100" t="s">
        <v>25</v>
      </c>
      <c r="K100">
        <v>6</v>
      </c>
      <c r="L100" s="3">
        <v>23100</v>
      </c>
      <c r="M100" s="3">
        <v>13000</v>
      </c>
      <c r="N100">
        <v>0.15</v>
      </c>
      <c r="O100" t="s">
        <v>37</v>
      </c>
      <c r="P100" t="s">
        <v>27</v>
      </c>
      <c r="Q100" s="3">
        <f>Table13[[#This Row],[Quantity]]*Table13[[#This Row],[UnitPrice_NGN]]</f>
        <v>138600</v>
      </c>
      <c r="R100" s="9">
        <f>Table13[[#This Row],[GrossRevenue]]*(1-Table13[[#This Row],[DiscountRate]])</f>
        <v>117810</v>
      </c>
      <c r="S100" s="3">
        <f>Table13[[#This Row],[Quantity]]*Table13[[#This Row],[UnitCost_NGN]]</f>
        <v>78000</v>
      </c>
      <c r="T100" s="3">
        <f>Table13[[#This Row],[NetRevenue]]-Table13[[#This Row],[TotalCost]]</f>
        <v>39810</v>
      </c>
      <c r="U100" s="3"/>
    </row>
    <row r="101" spans="1:21" x14ac:dyDescent="0.25">
      <c r="A101" t="s">
        <v>270</v>
      </c>
      <c r="B101" s="20">
        <v>45825</v>
      </c>
      <c r="C101" t="s">
        <v>40</v>
      </c>
      <c r="D101" t="s">
        <v>131</v>
      </c>
      <c r="E101" t="s">
        <v>132</v>
      </c>
      <c r="F101" t="s">
        <v>80</v>
      </c>
      <c r="G101" t="s">
        <v>44</v>
      </c>
      <c r="H101" t="s">
        <v>34</v>
      </c>
      <c r="I101" t="s">
        <v>35</v>
      </c>
      <c r="J101" t="s">
        <v>36</v>
      </c>
      <c r="K101">
        <v>3</v>
      </c>
      <c r="L101" s="3">
        <v>427500</v>
      </c>
      <c r="M101" s="3">
        <v>332500</v>
      </c>
      <c r="N101">
        <v>0</v>
      </c>
      <c r="O101" t="s">
        <v>90</v>
      </c>
      <c r="P101" t="s">
        <v>27</v>
      </c>
      <c r="Q101" s="3">
        <f>Table13[[#This Row],[Quantity]]*Table13[[#This Row],[UnitPrice_NGN]]</f>
        <v>1282500</v>
      </c>
      <c r="R101" s="9">
        <f>Table13[[#This Row],[GrossRevenue]]*(1-Table13[[#This Row],[DiscountRate]])</f>
        <v>1282500</v>
      </c>
      <c r="S101" s="3">
        <f>Table13[[#This Row],[Quantity]]*Table13[[#This Row],[UnitCost_NGN]]</f>
        <v>997500</v>
      </c>
      <c r="T101" s="3">
        <f>Table13[[#This Row],[NetRevenue]]-Table13[[#This Row],[TotalCost]]</f>
        <v>285000</v>
      </c>
      <c r="U101" s="3"/>
    </row>
    <row r="102" spans="1:21" x14ac:dyDescent="0.25">
      <c r="A102" t="s">
        <v>272</v>
      </c>
      <c r="B102" s="20">
        <v>45904</v>
      </c>
      <c r="C102" t="s">
        <v>30</v>
      </c>
      <c r="D102" t="s">
        <v>88</v>
      </c>
      <c r="E102" t="s">
        <v>89</v>
      </c>
      <c r="F102" t="s">
        <v>43</v>
      </c>
      <c r="G102" t="s">
        <v>62</v>
      </c>
      <c r="H102" t="s">
        <v>96</v>
      </c>
      <c r="I102" t="s">
        <v>93</v>
      </c>
      <c r="J102" t="s">
        <v>46</v>
      </c>
      <c r="K102">
        <v>4</v>
      </c>
      <c r="L102" s="3">
        <v>95000</v>
      </c>
      <c r="M102" s="3">
        <v>82000</v>
      </c>
      <c r="N102">
        <v>0</v>
      </c>
      <c r="O102" t="s">
        <v>37</v>
      </c>
      <c r="P102" t="s">
        <v>48</v>
      </c>
      <c r="Q102" s="3">
        <f>Table13[[#This Row],[Quantity]]*Table13[[#This Row],[UnitPrice_NGN]]</f>
        <v>380000</v>
      </c>
      <c r="R102" s="9">
        <f>Table13[[#This Row],[GrossRevenue]]*(1-Table13[[#This Row],[DiscountRate]])</f>
        <v>380000</v>
      </c>
      <c r="S102" s="3">
        <f>Table13[[#This Row],[Quantity]]*Table13[[#This Row],[UnitCost_NGN]]</f>
        <v>328000</v>
      </c>
      <c r="T102" s="3">
        <f>Table13[[#This Row],[NetRevenue]]-Table13[[#This Row],[TotalCost]]</f>
        <v>52000</v>
      </c>
      <c r="U102" s="3"/>
    </row>
    <row r="103" spans="1:21" x14ac:dyDescent="0.25">
      <c r="A103" t="s">
        <v>274</v>
      </c>
      <c r="B103" s="20">
        <v>45845</v>
      </c>
      <c r="C103" t="s">
        <v>40</v>
      </c>
      <c r="D103" t="s">
        <v>157</v>
      </c>
      <c r="E103" t="s">
        <v>158</v>
      </c>
      <c r="F103" t="s">
        <v>21</v>
      </c>
      <c r="G103" t="s">
        <v>22</v>
      </c>
      <c r="H103" t="s">
        <v>63</v>
      </c>
      <c r="I103" t="s">
        <v>51</v>
      </c>
      <c r="J103" t="s">
        <v>36</v>
      </c>
      <c r="K103">
        <v>6</v>
      </c>
      <c r="L103" s="3">
        <v>266000</v>
      </c>
      <c r="M103" s="3">
        <v>220500</v>
      </c>
      <c r="N103">
        <v>0.1</v>
      </c>
      <c r="O103" t="s">
        <v>52</v>
      </c>
      <c r="P103" t="s">
        <v>48</v>
      </c>
      <c r="Q103" s="3">
        <f>Table13[[#This Row],[Quantity]]*Table13[[#This Row],[UnitPrice_NGN]]</f>
        <v>1596000</v>
      </c>
      <c r="R103" s="9">
        <f>Table13[[#This Row],[GrossRevenue]]*(1-Table13[[#This Row],[DiscountRate]])</f>
        <v>1436400</v>
      </c>
      <c r="S103" s="3">
        <f>Table13[[#This Row],[Quantity]]*Table13[[#This Row],[UnitCost_NGN]]</f>
        <v>1323000</v>
      </c>
      <c r="T103" s="3">
        <f>Table13[[#This Row],[NetRevenue]]-Table13[[#This Row],[TotalCost]]</f>
        <v>113400</v>
      </c>
      <c r="U103" s="3"/>
    </row>
    <row r="104" spans="1:21" x14ac:dyDescent="0.25">
      <c r="A104" t="s">
        <v>276</v>
      </c>
      <c r="B104" s="20">
        <v>45853</v>
      </c>
      <c r="C104" t="s">
        <v>40</v>
      </c>
      <c r="D104" t="s">
        <v>88</v>
      </c>
      <c r="E104" t="s">
        <v>89</v>
      </c>
      <c r="F104" t="s">
        <v>43</v>
      </c>
      <c r="G104" t="s">
        <v>22</v>
      </c>
      <c r="H104" t="s">
        <v>34</v>
      </c>
      <c r="I104" t="s">
        <v>97</v>
      </c>
      <c r="J104" t="s">
        <v>56</v>
      </c>
      <c r="K104">
        <v>5</v>
      </c>
      <c r="L104" s="3">
        <v>131250</v>
      </c>
      <c r="M104" s="3">
        <v>85000</v>
      </c>
      <c r="N104">
        <v>0.1</v>
      </c>
      <c r="O104" t="s">
        <v>37</v>
      </c>
      <c r="P104" t="s">
        <v>27</v>
      </c>
      <c r="Q104" s="3">
        <f>Table13[[#This Row],[Quantity]]*Table13[[#This Row],[UnitPrice_NGN]]</f>
        <v>656250</v>
      </c>
      <c r="R104" s="9">
        <f>Table13[[#This Row],[GrossRevenue]]*(1-Table13[[#This Row],[DiscountRate]])</f>
        <v>590625</v>
      </c>
      <c r="S104" s="3">
        <f>Table13[[#This Row],[Quantity]]*Table13[[#This Row],[UnitCost_NGN]]</f>
        <v>425000</v>
      </c>
      <c r="T104" s="3">
        <f>Table13[[#This Row],[NetRevenue]]-Table13[[#This Row],[TotalCost]]</f>
        <v>165625</v>
      </c>
      <c r="U104" s="3"/>
    </row>
    <row r="105" spans="1:21" x14ac:dyDescent="0.25">
      <c r="A105" t="s">
        <v>277</v>
      </c>
      <c r="B105" s="20">
        <v>45771</v>
      </c>
      <c r="C105" t="s">
        <v>18</v>
      </c>
      <c r="D105" t="s">
        <v>131</v>
      </c>
      <c r="E105" t="s">
        <v>132</v>
      </c>
      <c r="F105" t="s">
        <v>80</v>
      </c>
      <c r="G105" t="s">
        <v>33</v>
      </c>
      <c r="H105" t="s">
        <v>63</v>
      </c>
      <c r="I105" t="s">
        <v>35</v>
      </c>
      <c r="J105" t="s">
        <v>36</v>
      </c>
      <c r="K105">
        <v>10</v>
      </c>
      <c r="L105" s="3">
        <v>450000</v>
      </c>
      <c r="M105" s="3">
        <v>350000</v>
      </c>
      <c r="N105">
        <v>0.1</v>
      </c>
      <c r="O105" t="s">
        <v>26</v>
      </c>
      <c r="P105" t="s">
        <v>27</v>
      </c>
      <c r="Q105" s="3">
        <f>Table13[[#This Row],[Quantity]]*Table13[[#This Row],[UnitPrice_NGN]]</f>
        <v>4500000</v>
      </c>
      <c r="R105" s="9">
        <f>Table13[[#This Row],[GrossRevenue]]*(1-Table13[[#This Row],[DiscountRate]])</f>
        <v>4050000</v>
      </c>
      <c r="S105" s="3">
        <f>Table13[[#This Row],[Quantity]]*Table13[[#This Row],[UnitCost_NGN]]</f>
        <v>3500000</v>
      </c>
      <c r="T105" s="3">
        <f>Table13[[#This Row],[NetRevenue]]-Table13[[#This Row],[TotalCost]]</f>
        <v>550000</v>
      </c>
      <c r="U105" s="3"/>
    </row>
    <row r="106" spans="1:21" x14ac:dyDescent="0.25">
      <c r="A106" t="s">
        <v>279</v>
      </c>
      <c r="B106" s="20">
        <v>45717</v>
      </c>
      <c r="C106" t="s">
        <v>18</v>
      </c>
      <c r="D106" t="s">
        <v>157</v>
      </c>
      <c r="E106" t="s">
        <v>158</v>
      </c>
      <c r="F106" t="s">
        <v>21</v>
      </c>
      <c r="G106" t="s">
        <v>44</v>
      </c>
      <c r="H106" t="s">
        <v>112</v>
      </c>
      <c r="I106" t="s">
        <v>51</v>
      </c>
      <c r="J106" t="s">
        <v>36</v>
      </c>
      <c r="K106">
        <v>1</v>
      </c>
      <c r="L106" s="3">
        <v>252000</v>
      </c>
      <c r="M106" s="3">
        <v>210000</v>
      </c>
      <c r="N106">
        <v>0.05</v>
      </c>
      <c r="O106" t="s">
        <v>37</v>
      </c>
      <c r="P106" t="s">
        <v>48</v>
      </c>
      <c r="Q106" s="3">
        <f>Table13[[#This Row],[Quantity]]*Table13[[#This Row],[UnitPrice_NGN]]</f>
        <v>252000</v>
      </c>
      <c r="R106" s="9">
        <f>Table13[[#This Row],[GrossRevenue]]*(1-Table13[[#This Row],[DiscountRate]])</f>
        <v>239400</v>
      </c>
      <c r="S106" s="3">
        <f>Table13[[#This Row],[Quantity]]*Table13[[#This Row],[UnitCost_NGN]]</f>
        <v>210000</v>
      </c>
      <c r="T106" s="3">
        <f>Table13[[#This Row],[NetRevenue]]-Table13[[#This Row],[TotalCost]]</f>
        <v>29400</v>
      </c>
      <c r="U106" s="3"/>
    </row>
    <row r="107" spans="1:21" x14ac:dyDescent="0.25">
      <c r="A107" t="s">
        <v>280</v>
      </c>
      <c r="B107" s="20">
        <v>45737</v>
      </c>
      <c r="C107" t="s">
        <v>30</v>
      </c>
      <c r="D107" t="s">
        <v>120</v>
      </c>
      <c r="E107" t="s">
        <v>121</v>
      </c>
      <c r="F107" t="s">
        <v>122</v>
      </c>
      <c r="G107" t="s">
        <v>22</v>
      </c>
      <c r="H107" t="s">
        <v>112</v>
      </c>
      <c r="I107" t="s">
        <v>105</v>
      </c>
      <c r="J107" t="s">
        <v>71</v>
      </c>
      <c r="K107">
        <v>12</v>
      </c>
      <c r="L107" s="3">
        <v>183750</v>
      </c>
      <c r="M107" s="3">
        <v>126000</v>
      </c>
      <c r="N107">
        <v>0.1</v>
      </c>
      <c r="O107" t="s">
        <v>26</v>
      </c>
      <c r="P107" t="s">
        <v>72</v>
      </c>
      <c r="Q107" s="3">
        <f>Table13[[#This Row],[Quantity]]*Table13[[#This Row],[UnitPrice_NGN]]</f>
        <v>2205000</v>
      </c>
      <c r="R107" s="9">
        <f>Table13[[#This Row],[GrossRevenue]]*(1-Table13[[#This Row],[DiscountRate]])</f>
        <v>1984500</v>
      </c>
      <c r="S107" s="3">
        <f>Table13[[#This Row],[Quantity]]*Table13[[#This Row],[UnitCost_NGN]]</f>
        <v>1512000</v>
      </c>
      <c r="T107" s="3">
        <f>Table13[[#This Row],[NetRevenue]]-Table13[[#This Row],[TotalCost]]</f>
        <v>472500</v>
      </c>
      <c r="U107" s="3"/>
    </row>
    <row r="108" spans="1:21" x14ac:dyDescent="0.25">
      <c r="A108" t="s">
        <v>282</v>
      </c>
      <c r="B108" s="20">
        <v>45778</v>
      </c>
      <c r="C108" t="s">
        <v>18</v>
      </c>
      <c r="D108" t="s">
        <v>31</v>
      </c>
      <c r="E108" t="s">
        <v>32</v>
      </c>
      <c r="F108" t="s">
        <v>21</v>
      </c>
      <c r="G108" t="s">
        <v>62</v>
      </c>
      <c r="H108" t="s">
        <v>23</v>
      </c>
      <c r="I108" t="s">
        <v>70</v>
      </c>
      <c r="J108" t="s">
        <v>71</v>
      </c>
      <c r="K108">
        <v>5</v>
      </c>
      <c r="L108" s="3">
        <v>90250</v>
      </c>
      <c r="M108" s="3">
        <v>65100</v>
      </c>
      <c r="N108">
        <v>0.05</v>
      </c>
      <c r="O108" t="s">
        <v>47</v>
      </c>
      <c r="P108" t="s">
        <v>48</v>
      </c>
      <c r="Q108" s="3">
        <f>Table13[[#This Row],[Quantity]]*Table13[[#This Row],[UnitPrice_NGN]]</f>
        <v>451250</v>
      </c>
      <c r="R108" s="9">
        <f>Table13[[#This Row],[GrossRevenue]]*(1-Table13[[#This Row],[DiscountRate]])</f>
        <v>428687.5</v>
      </c>
      <c r="S108" s="3">
        <f>Table13[[#This Row],[Quantity]]*Table13[[#This Row],[UnitCost_NGN]]</f>
        <v>325500</v>
      </c>
      <c r="T108" s="3">
        <f>Table13[[#This Row],[NetRevenue]]-Table13[[#This Row],[TotalCost]]</f>
        <v>103187.5</v>
      </c>
      <c r="U108" s="3"/>
    </row>
    <row r="109" spans="1:21" x14ac:dyDescent="0.25">
      <c r="A109" t="s">
        <v>284</v>
      </c>
      <c r="B109" s="20">
        <v>45997</v>
      </c>
      <c r="C109" t="s">
        <v>30</v>
      </c>
      <c r="D109" t="s">
        <v>83</v>
      </c>
      <c r="E109" t="s">
        <v>84</v>
      </c>
      <c r="F109" t="s">
        <v>85</v>
      </c>
      <c r="G109" t="s">
        <v>22</v>
      </c>
      <c r="H109" t="s">
        <v>96</v>
      </c>
      <c r="I109" t="s">
        <v>35</v>
      </c>
      <c r="J109" t="s">
        <v>36</v>
      </c>
      <c r="K109">
        <v>2</v>
      </c>
      <c r="L109" s="3">
        <v>405000</v>
      </c>
      <c r="M109" s="3">
        <v>367500</v>
      </c>
      <c r="N109">
        <v>0</v>
      </c>
      <c r="O109" t="s">
        <v>47</v>
      </c>
      <c r="P109" t="s">
        <v>48</v>
      </c>
      <c r="Q109" s="3">
        <f>Table13[[#This Row],[Quantity]]*Table13[[#This Row],[UnitPrice_NGN]]</f>
        <v>810000</v>
      </c>
      <c r="R109" s="9">
        <f>Table13[[#This Row],[GrossRevenue]]*(1-Table13[[#This Row],[DiscountRate]])</f>
        <v>810000</v>
      </c>
      <c r="S109" s="3">
        <f>Table13[[#This Row],[Quantity]]*Table13[[#This Row],[UnitCost_NGN]]</f>
        <v>735000</v>
      </c>
      <c r="T109" s="3">
        <f>Table13[[#This Row],[NetRevenue]]-Table13[[#This Row],[TotalCost]]</f>
        <v>75000</v>
      </c>
      <c r="U109" s="3"/>
    </row>
    <row r="110" spans="1:21" x14ac:dyDescent="0.25">
      <c r="A110" t="s">
        <v>285</v>
      </c>
      <c r="B110" s="20">
        <v>45764</v>
      </c>
      <c r="C110" t="s">
        <v>18</v>
      </c>
      <c r="D110" t="s">
        <v>157</v>
      </c>
      <c r="E110" t="s">
        <v>158</v>
      </c>
      <c r="F110" t="s">
        <v>21</v>
      </c>
      <c r="G110" t="s">
        <v>44</v>
      </c>
      <c r="H110" t="s">
        <v>63</v>
      </c>
      <c r="I110" t="s">
        <v>113</v>
      </c>
      <c r="J110" t="s">
        <v>36</v>
      </c>
      <c r="K110">
        <v>6</v>
      </c>
      <c r="L110" s="3">
        <v>152000</v>
      </c>
      <c r="M110" s="3">
        <v>109250</v>
      </c>
      <c r="N110">
        <v>0.1</v>
      </c>
      <c r="O110" t="s">
        <v>90</v>
      </c>
      <c r="P110" t="s">
        <v>133</v>
      </c>
      <c r="Q110" s="3">
        <f>Table13[[#This Row],[Quantity]]*Table13[[#This Row],[UnitPrice_NGN]]</f>
        <v>912000</v>
      </c>
      <c r="R110" s="9">
        <f>Table13[[#This Row],[GrossRevenue]]*(1-Table13[[#This Row],[DiscountRate]])</f>
        <v>820800</v>
      </c>
      <c r="S110" s="3">
        <f>Table13[[#This Row],[Quantity]]*Table13[[#This Row],[UnitCost_NGN]]</f>
        <v>655500</v>
      </c>
      <c r="T110" s="3">
        <f>Table13[[#This Row],[NetRevenue]]-Table13[[#This Row],[TotalCost]]</f>
        <v>165300</v>
      </c>
      <c r="U110" s="3"/>
    </row>
    <row r="111" spans="1:21" x14ac:dyDescent="0.25">
      <c r="A111" t="s">
        <v>287</v>
      </c>
      <c r="B111" s="20">
        <v>45786</v>
      </c>
      <c r="C111" t="s">
        <v>18</v>
      </c>
      <c r="D111" t="s">
        <v>31</v>
      </c>
      <c r="E111" t="s">
        <v>32</v>
      </c>
      <c r="F111" t="s">
        <v>21</v>
      </c>
      <c r="G111" t="s">
        <v>22</v>
      </c>
      <c r="H111" t="s">
        <v>34</v>
      </c>
      <c r="I111" t="s">
        <v>45</v>
      </c>
      <c r="J111" t="s">
        <v>46</v>
      </c>
      <c r="K111">
        <v>2</v>
      </c>
      <c r="L111" s="3">
        <v>17575</v>
      </c>
      <c r="M111" s="3">
        <v>14500</v>
      </c>
      <c r="N111">
        <v>0.1</v>
      </c>
      <c r="O111" t="s">
        <v>148</v>
      </c>
      <c r="P111" t="s">
        <v>48</v>
      </c>
      <c r="Q111" s="3">
        <f>Table13[[#This Row],[Quantity]]*Table13[[#This Row],[UnitPrice_NGN]]</f>
        <v>35150</v>
      </c>
      <c r="R111" s="9">
        <f>Table13[[#This Row],[GrossRevenue]]*(1-Table13[[#This Row],[DiscountRate]])</f>
        <v>31635</v>
      </c>
      <c r="S111" s="3">
        <f>Table13[[#This Row],[Quantity]]*Table13[[#This Row],[UnitCost_NGN]]</f>
        <v>29000</v>
      </c>
      <c r="T111" s="3">
        <f>Table13[[#This Row],[NetRevenue]]-Table13[[#This Row],[TotalCost]]</f>
        <v>2635</v>
      </c>
      <c r="U111" s="3"/>
    </row>
    <row r="112" spans="1:21" x14ac:dyDescent="0.25">
      <c r="A112" t="s">
        <v>289</v>
      </c>
      <c r="B112" s="20">
        <v>45684</v>
      </c>
      <c r="C112" t="s">
        <v>30</v>
      </c>
      <c r="D112" t="s">
        <v>60</v>
      </c>
      <c r="E112" t="s">
        <v>61</v>
      </c>
      <c r="F112" t="s">
        <v>43</v>
      </c>
      <c r="G112" t="s">
        <v>33</v>
      </c>
      <c r="H112" t="s">
        <v>23</v>
      </c>
      <c r="I112" t="s">
        <v>105</v>
      </c>
      <c r="J112" t="s">
        <v>71</v>
      </c>
      <c r="K112">
        <v>4</v>
      </c>
      <c r="L112" s="3">
        <v>157500</v>
      </c>
      <c r="M112" s="3">
        <v>120000</v>
      </c>
      <c r="N112">
        <v>0</v>
      </c>
      <c r="O112" t="s">
        <v>52</v>
      </c>
      <c r="P112" t="s">
        <v>48</v>
      </c>
      <c r="Q112" s="3">
        <f>Table13[[#This Row],[Quantity]]*Table13[[#This Row],[UnitPrice_NGN]]</f>
        <v>630000</v>
      </c>
      <c r="R112" s="9">
        <f>Table13[[#This Row],[GrossRevenue]]*(1-Table13[[#This Row],[DiscountRate]])</f>
        <v>630000</v>
      </c>
      <c r="S112" s="3">
        <f>Table13[[#This Row],[Quantity]]*Table13[[#This Row],[UnitCost_NGN]]</f>
        <v>480000</v>
      </c>
      <c r="T112" s="3">
        <f>Table13[[#This Row],[NetRevenue]]-Table13[[#This Row],[TotalCost]]</f>
        <v>150000</v>
      </c>
      <c r="U112" s="3"/>
    </row>
    <row r="113" spans="1:21" x14ac:dyDescent="0.25">
      <c r="A113" t="s">
        <v>291</v>
      </c>
      <c r="B113" s="20">
        <v>45961</v>
      </c>
      <c r="C113" t="s">
        <v>40</v>
      </c>
      <c r="D113" t="s">
        <v>19</v>
      </c>
      <c r="E113" t="s">
        <v>20</v>
      </c>
      <c r="F113" t="s">
        <v>21</v>
      </c>
      <c r="G113" t="s">
        <v>44</v>
      </c>
      <c r="H113" t="s">
        <v>23</v>
      </c>
      <c r="I113" t="s">
        <v>102</v>
      </c>
      <c r="J113" t="s">
        <v>25</v>
      </c>
      <c r="K113">
        <v>3</v>
      </c>
      <c r="L113" s="3">
        <v>46200</v>
      </c>
      <c r="M113" s="3">
        <v>26000</v>
      </c>
      <c r="N113">
        <v>0.1</v>
      </c>
      <c r="O113" t="s">
        <v>148</v>
      </c>
      <c r="P113" t="s">
        <v>48</v>
      </c>
      <c r="Q113" s="3">
        <f>Table13[[#This Row],[Quantity]]*Table13[[#This Row],[UnitPrice_NGN]]</f>
        <v>138600</v>
      </c>
      <c r="R113" s="9">
        <f>Table13[[#This Row],[GrossRevenue]]*(1-Table13[[#This Row],[DiscountRate]])</f>
        <v>124740</v>
      </c>
      <c r="S113" s="3">
        <f>Table13[[#This Row],[Quantity]]*Table13[[#This Row],[UnitCost_NGN]]</f>
        <v>78000</v>
      </c>
      <c r="T113" s="3">
        <f>Table13[[#This Row],[NetRevenue]]-Table13[[#This Row],[TotalCost]]</f>
        <v>46740</v>
      </c>
      <c r="U113" s="3"/>
    </row>
    <row r="114" spans="1:21" x14ac:dyDescent="0.25">
      <c r="A114" t="s">
        <v>293</v>
      </c>
      <c r="B114" s="20">
        <v>45903</v>
      </c>
      <c r="C114" t="s">
        <v>40</v>
      </c>
      <c r="D114" t="s">
        <v>120</v>
      </c>
      <c r="E114" t="s">
        <v>121</v>
      </c>
      <c r="F114" t="s">
        <v>122</v>
      </c>
      <c r="G114" t="s">
        <v>22</v>
      </c>
      <c r="H114" t="s">
        <v>112</v>
      </c>
      <c r="I114" t="s">
        <v>102</v>
      </c>
      <c r="J114" t="s">
        <v>25</v>
      </c>
      <c r="K114">
        <v>4</v>
      </c>
      <c r="L114" s="3">
        <v>42000</v>
      </c>
      <c r="M114" s="3">
        <v>24700</v>
      </c>
      <c r="N114">
        <v>0</v>
      </c>
      <c r="O114" t="s">
        <v>37</v>
      </c>
      <c r="P114" t="s">
        <v>72</v>
      </c>
      <c r="Q114" s="3">
        <f>Table13[[#This Row],[Quantity]]*Table13[[#This Row],[UnitPrice_NGN]]</f>
        <v>168000</v>
      </c>
      <c r="R114" s="9">
        <f>Table13[[#This Row],[GrossRevenue]]*(1-Table13[[#This Row],[DiscountRate]])</f>
        <v>168000</v>
      </c>
      <c r="S114" s="3">
        <f>Table13[[#This Row],[Quantity]]*Table13[[#This Row],[UnitCost_NGN]]</f>
        <v>98800</v>
      </c>
      <c r="T114" s="3">
        <f>Table13[[#This Row],[NetRevenue]]-Table13[[#This Row],[TotalCost]]</f>
        <v>69200</v>
      </c>
      <c r="U114" s="3"/>
    </row>
    <row r="115" spans="1:21" x14ac:dyDescent="0.25">
      <c r="A115" t="s">
        <v>295</v>
      </c>
      <c r="B115" s="20">
        <v>45798</v>
      </c>
      <c r="C115" t="s">
        <v>30</v>
      </c>
      <c r="D115" t="s">
        <v>19</v>
      </c>
      <c r="E115" t="s">
        <v>20</v>
      </c>
      <c r="F115" t="s">
        <v>21</v>
      </c>
      <c r="G115" t="s">
        <v>62</v>
      </c>
      <c r="H115" t="s">
        <v>112</v>
      </c>
      <c r="I115" t="s">
        <v>51</v>
      </c>
      <c r="J115" t="s">
        <v>36</v>
      </c>
      <c r="K115">
        <v>2</v>
      </c>
      <c r="L115" s="3">
        <v>266000</v>
      </c>
      <c r="M115" s="3">
        <v>199500</v>
      </c>
      <c r="N115">
        <v>0</v>
      </c>
      <c r="O115" t="s">
        <v>57</v>
      </c>
      <c r="P115" t="s">
        <v>133</v>
      </c>
      <c r="Q115" s="3">
        <f>Table13[[#This Row],[Quantity]]*Table13[[#This Row],[UnitPrice_NGN]]</f>
        <v>532000</v>
      </c>
      <c r="R115" s="9">
        <f>Table13[[#This Row],[GrossRevenue]]*(1-Table13[[#This Row],[DiscountRate]])</f>
        <v>532000</v>
      </c>
      <c r="S115" s="3">
        <f>Table13[[#This Row],[Quantity]]*Table13[[#This Row],[UnitCost_NGN]]</f>
        <v>399000</v>
      </c>
      <c r="T115" s="3">
        <f>Table13[[#This Row],[NetRevenue]]-Table13[[#This Row],[TotalCost]]</f>
        <v>133000</v>
      </c>
      <c r="U115" s="3"/>
    </row>
    <row r="116" spans="1:21" x14ac:dyDescent="0.25">
      <c r="A116" t="s">
        <v>297</v>
      </c>
      <c r="B116" s="20">
        <v>45991</v>
      </c>
      <c r="C116" t="s">
        <v>30</v>
      </c>
      <c r="D116" t="s">
        <v>78</v>
      </c>
      <c r="E116" t="s">
        <v>79</v>
      </c>
      <c r="F116" t="s">
        <v>80</v>
      </c>
      <c r="G116" t="s">
        <v>44</v>
      </c>
      <c r="H116" t="s">
        <v>112</v>
      </c>
      <c r="I116" t="s">
        <v>97</v>
      </c>
      <c r="J116" t="s">
        <v>56</v>
      </c>
      <c r="K116">
        <v>4</v>
      </c>
      <c r="L116" s="3">
        <v>112500</v>
      </c>
      <c r="M116" s="3">
        <v>80750</v>
      </c>
      <c r="N116">
        <v>0.15</v>
      </c>
      <c r="O116" t="s">
        <v>37</v>
      </c>
      <c r="P116" t="s">
        <v>133</v>
      </c>
      <c r="Q116" s="3">
        <f>Table13[[#This Row],[Quantity]]*Table13[[#This Row],[UnitPrice_NGN]]</f>
        <v>450000</v>
      </c>
      <c r="R116" s="9">
        <f>Table13[[#This Row],[GrossRevenue]]*(1-Table13[[#This Row],[DiscountRate]])</f>
        <v>382500</v>
      </c>
      <c r="S116" s="3">
        <f>Table13[[#This Row],[Quantity]]*Table13[[#This Row],[UnitCost_NGN]]</f>
        <v>323000</v>
      </c>
      <c r="T116" s="3">
        <f>Table13[[#This Row],[NetRevenue]]-Table13[[#This Row],[TotalCost]]</f>
        <v>59500</v>
      </c>
      <c r="U116" s="3"/>
    </row>
    <row r="117" spans="1:21" x14ac:dyDescent="0.25">
      <c r="A117" t="s">
        <v>299</v>
      </c>
      <c r="B117" s="20">
        <v>45706</v>
      </c>
      <c r="C117" t="s">
        <v>40</v>
      </c>
      <c r="D117" t="s">
        <v>83</v>
      </c>
      <c r="E117" t="s">
        <v>84</v>
      </c>
      <c r="F117" t="s">
        <v>85</v>
      </c>
      <c r="G117" t="s">
        <v>62</v>
      </c>
      <c r="H117" t="s">
        <v>63</v>
      </c>
      <c r="I117" t="s">
        <v>113</v>
      </c>
      <c r="J117" t="s">
        <v>36</v>
      </c>
      <c r="K117">
        <v>2</v>
      </c>
      <c r="L117" s="3">
        <v>160000</v>
      </c>
      <c r="M117" s="3">
        <v>120750</v>
      </c>
      <c r="N117">
        <v>0.05</v>
      </c>
      <c r="O117" t="s">
        <v>47</v>
      </c>
      <c r="P117" t="s">
        <v>48</v>
      </c>
      <c r="Q117" s="3">
        <f>Table13[[#This Row],[Quantity]]*Table13[[#This Row],[UnitPrice_NGN]]</f>
        <v>320000</v>
      </c>
      <c r="R117" s="9">
        <f>Table13[[#This Row],[GrossRevenue]]*(1-Table13[[#This Row],[DiscountRate]])</f>
        <v>304000</v>
      </c>
      <c r="S117" s="3">
        <f>Table13[[#This Row],[Quantity]]*Table13[[#This Row],[UnitCost_NGN]]</f>
        <v>241500</v>
      </c>
      <c r="T117" s="3">
        <f>Table13[[#This Row],[NetRevenue]]-Table13[[#This Row],[TotalCost]]</f>
        <v>62500</v>
      </c>
      <c r="U117" s="3"/>
    </row>
    <row r="118" spans="1:21" x14ac:dyDescent="0.25">
      <c r="A118" t="s">
        <v>301</v>
      </c>
      <c r="B118" s="20">
        <v>45705</v>
      </c>
      <c r="C118" t="s">
        <v>18</v>
      </c>
      <c r="D118" t="s">
        <v>120</v>
      </c>
      <c r="E118" t="s">
        <v>121</v>
      </c>
      <c r="F118" t="s">
        <v>122</v>
      </c>
      <c r="G118" t="s">
        <v>62</v>
      </c>
      <c r="H118" t="s">
        <v>34</v>
      </c>
      <c r="I118" t="s">
        <v>75</v>
      </c>
      <c r="J118" t="s">
        <v>36</v>
      </c>
      <c r="K118">
        <v>10</v>
      </c>
      <c r="L118" s="3">
        <v>162000</v>
      </c>
      <c r="M118" s="3">
        <v>123500</v>
      </c>
      <c r="N118">
        <v>0</v>
      </c>
      <c r="O118" t="s">
        <v>148</v>
      </c>
      <c r="P118" t="s">
        <v>72</v>
      </c>
      <c r="Q118" s="3">
        <f>Table13[[#This Row],[Quantity]]*Table13[[#This Row],[UnitPrice_NGN]]</f>
        <v>1620000</v>
      </c>
      <c r="R118" s="9">
        <f>Table13[[#This Row],[GrossRevenue]]*(1-Table13[[#This Row],[DiscountRate]])</f>
        <v>1620000</v>
      </c>
      <c r="S118" s="3">
        <f>Table13[[#This Row],[Quantity]]*Table13[[#This Row],[UnitCost_NGN]]</f>
        <v>1235000</v>
      </c>
      <c r="T118" s="3">
        <f>Table13[[#This Row],[NetRevenue]]-Table13[[#This Row],[TotalCost]]</f>
        <v>385000</v>
      </c>
      <c r="U118" s="3"/>
    </row>
    <row r="119" spans="1:21" x14ac:dyDescent="0.25">
      <c r="A119" t="s">
        <v>303</v>
      </c>
      <c r="B119" s="20">
        <v>45839</v>
      </c>
      <c r="C119" t="s">
        <v>40</v>
      </c>
      <c r="D119" t="s">
        <v>78</v>
      </c>
      <c r="E119" t="s">
        <v>79</v>
      </c>
      <c r="F119" t="s">
        <v>80</v>
      </c>
      <c r="G119" t="s">
        <v>22</v>
      </c>
      <c r="H119" t="s">
        <v>63</v>
      </c>
      <c r="I119" t="s">
        <v>45</v>
      </c>
      <c r="J119" t="s">
        <v>46</v>
      </c>
      <c r="K119">
        <v>4</v>
      </c>
      <c r="L119" s="3">
        <v>19425</v>
      </c>
      <c r="M119" s="3">
        <v>13775</v>
      </c>
      <c r="N119">
        <v>0.05</v>
      </c>
      <c r="O119" t="s">
        <v>57</v>
      </c>
      <c r="P119" t="s">
        <v>27</v>
      </c>
      <c r="Q119" s="3">
        <f>Table13[[#This Row],[Quantity]]*Table13[[#This Row],[UnitPrice_NGN]]</f>
        <v>77700</v>
      </c>
      <c r="R119" s="9">
        <f>Table13[[#This Row],[GrossRevenue]]*(1-Table13[[#This Row],[DiscountRate]])</f>
        <v>73815</v>
      </c>
      <c r="S119" s="3">
        <f>Table13[[#This Row],[Quantity]]*Table13[[#This Row],[UnitCost_NGN]]</f>
        <v>55100</v>
      </c>
      <c r="T119" s="3">
        <f>Table13[[#This Row],[NetRevenue]]-Table13[[#This Row],[TotalCost]]</f>
        <v>18715</v>
      </c>
      <c r="U119" s="3"/>
    </row>
    <row r="120" spans="1:21" x14ac:dyDescent="0.25">
      <c r="A120" t="s">
        <v>305</v>
      </c>
      <c r="B120" s="20">
        <v>45904</v>
      </c>
      <c r="C120" t="s">
        <v>18</v>
      </c>
      <c r="D120" t="s">
        <v>19</v>
      </c>
      <c r="E120" t="s">
        <v>20</v>
      </c>
      <c r="F120" t="s">
        <v>21</v>
      </c>
      <c r="G120" t="s">
        <v>62</v>
      </c>
      <c r="H120" t="s">
        <v>23</v>
      </c>
      <c r="I120" t="s">
        <v>105</v>
      </c>
      <c r="J120" t="s">
        <v>71</v>
      </c>
      <c r="K120">
        <v>4</v>
      </c>
      <c r="L120" s="3">
        <v>166250</v>
      </c>
      <c r="M120" s="3">
        <v>120000</v>
      </c>
      <c r="N120">
        <v>0.15</v>
      </c>
      <c r="O120" t="s">
        <v>47</v>
      </c>
      <c r="P120" t="s">
        <v>48</v>
      </c>
      <c r="Q120" s="3">
        <f>Table13[[#This Row],[Quantity]]*Table13[[#This Row],[UnitPrice_NGN]]</f>
        <v>665000</v>
      </c>
      <c r="R120" s="9">
        <f>Table13[[#This Row],[GrossRevenue]]*(1-Table13[[#This Row],[DiscountRate]])</f>
        <v>565250</v>
      </c>
      <c r="S120" s="3">
        <f>Table13[[#This Row],[Quantity]]*Table13[[#This Row],[UnitCost_NGN]]</f>
        <v>480000</v>
      </c>
      <c r="T120" s="3">
        <f>Table13[[#This Row],[NetRevenue]]-Table13[[#This Row],[TotalCost]]</f>
        <v>85250</v>
      </c>
      <c r="U120" s="3"/>
    </row>
    <row r="121" spans="1:21" x14ac:dyDescent="0.25">
      <c r="A121" t="s">
        <v>306</v>
      </c>
      <c r="B121" s="20">
        <v>45976</v>
      </c>
      <c r="C121" t="s">
        <v>30</v>
      </c>
      <c r="D121" t="s">
        <v>41</v>
      </c>
      <c r="E121" t="s">
        <v>42</v>
      </c>
      <c r="F121" t="s">
        <v>43</v>
      </c>
      <c r="G121" t="s">
        <v>22</v>
      </c>
      <c r="H121" t="s">
        <v>23</v>
      </c>
      <c r="I121" t="s">
        <v>51</v>
      </c>
      <c r="J121" t="s">
        <v>36</v>
      </c>
      <c r="K121">
        <v>4</v>
      </c>
      <c r="L121" s="3">
        <v>308000</v>
      </c>
      <c r="M121" s="3">
        <v>220500</v>
      </c>
      <c r="N121">
        <v>0.1</v>
      </c>
      <c r="O121" t="s">
        <v>57</v>
      </c>
      <c r="P121" t="s">
        <v>133</v>
      </c>
      <c r="Q121" s="3">
        <f>Table13[[#This Row],[Quantity]]*Table13[[#This Row],[UnitPrice_NGN]]</f>
        <v>1232000</v>
      </c>
      <c r="R121" s="9">
        <f>Table13[[#This Row],[GrossRevenue]]*(1-Table13[[#This Row],[DiscountRate]])</f>
        <v>1108800</v>
      </c>
      <c r="S121" s="3">
        <f>Table13[[#This Row],[Quantity]]*Table13[[#This Row],[UnitCost_NGN]]</f>
        <v>882000</v>
      </c>
      <c r="T121" s="3">
        <f>Table13[[#This Row],[NetRevenue]]-Table13[[#This Row],[TotalCost]]</f>
        <v>226800</v>
      </c>
      <c r="U121" s="3"/>
    </row>
    <row r="122" spans="1:21" x14ac:dyDescent="0.25">
      <c r="A122" t="s">
        <v>308</v>
      </c>
      <c r="B122" s="20">
        <v>45837</v>
      </c>
      <c r="C122" t="s">
        <v>18</v>
      </c>
      <c r="D122" t="s">
        <v>157</v>
      </c>
      <c r="E122" t="s">
        <v>158</v>
      </c>
      <c r="F122" t="s">
        <v>21</v>
      </c>
      <c r="G122" t="s">
        <v>44</v>
      </c>
      <c r="H122" t="s">
        <v>23</v>
      </c>
      <c r="I122" t="s">
        <v>35</v>
      </c>
      <c r="J122" t="s">
        <v>36</v>
      </c>
      <c r="K122">
        <v>2</v>
      </c>
      <c r="L122" s="3">
        <v>495000</v>
      </c>
      <c r="M122" s="3">
        <v>350000</v>
      </c>
      <c r="N122">
        <v>0</v>
      </c>
      <c r="O122" t="s">
        <v>26</v>
      </c>
      <c r="P122" t="s">
        <v>48</v>
      </c>
      <c r="Q122" s="3">
        <f>Table13[[#This Row],[Quantity]]*Table13[[#This Row],[UnitPrice_NGN]]</f>
        <v>990000</v>
      </c>
      <c r="R122" s="9">
        <f>Table13[[#This Row],[GrossRevenue]]*(1-Table13[[#This Row],[DiscountRate]])</f>
        <v>990000</v>
      </c>
      <c r="S122" s="3">
        <f>Table13[[#This Row],[Quantity]]*Table13[[#This Row],[UnitCost_NGN]]</f>
        <v>700000</v>
      </c>
      <c r="T122" s="3">
        <f>Table13[[#This Row],[NetRevenue]]-Table13[[#This Row],[TotalCost]]</f>
        <v>290000</v>
      </c>
      <c r="U122" s="3"/>
    </row>
    <row r="123" spans="1:21" x14ac:dyDescent="0.25">
      <c r="A123" t="s">
        <v>310</v>
      </c>
      <c r="B123" s="20">
        <v>45929</v>
      </c>
      <c r="C123" t="s">
        <v>40</v>
      </c>
      <c r="D123" t="s">
        <v>157</v>
      </c>
      <c r="E123" t="s">
        <v>158</v>
      </c>
      <c r="F123" t="s">
        <v>21</v>
      </c>
      <c r="G123" t="s">
        <v>33</v>
      </c>
      <c r="H123" t="s">
        <v>112</v>
      </c>
      <c r="I123" t="s">
        <v>51</v>
      </c>
      <c r="J123" t="s">
        <v>36</v>
      </c>
      <c r="K123">
        <v>6</v>
      </c>
      <c r="L123" s="3">
        <v>252000</v>
      </c>
      <c r="M123" s="3">
        <v>199500</v>
      </c>
      <c r="N123">
        <v>0.15</v>
      </c>
      <c r="O123" t="s">
        <v>47</v>
      </c>
      <c r="P123" t="s">
        <v>48</v>
      </c>
      <c r="Q123" s="3">
        <f>Table13[[#This Row],[Quantity]]*Table13[[#This Row],[UnitPrice_NGN]]</f>
        <v>1512000</v>
      </c>
      <c r="R123" s="9">
        <f>Table13[[#This Row],[GrossRevenue]]*(1-Table13[[#This Row],[DiscountRate]])</f>
        <v>1285200</v>
      </c>
      <c r="S123" s="3">
        <f>Table13[[#This Row],[Quantity]]*Table13[[#This Row],[UnitCost_NGN]]</f>
        <v>1197000</v>
      </c>
      <c r="T123" s="3">
        <f>Table13[[#This Row],[NetRevenue]]-Table13[[#This Row],[TotalCost]]</f>
        <v>88200</v>
      </c>
      <c r="U123" s="3"/>
    </row>
    <row r="124" spans="1:21" x14ac:dyDescent="0.25">
      <c r="A124" t="s">
        <v>311</v>
      </c>
      <c r="B124" s="20">
        <v>45737</v>
      </c>
      <c r="C124" t="s">
        <v>30</v>
      </c>
      <c r="D124" t="s">
        <v>88</v>
      </c>
      <c r="E124" t="s">
        <v>89</v>
      </c>
      <c r="F124" t="s">
        <v>312</v>
      </c>
      <c r="G124" t="s">
        <v>22</v>
      </c>
      <c r="H124" t="s">
        <v>96</v>
      </c>
      <c r="I124" t="s">
        <v>75</v>
      </c>
      <c r="J124" t="s">
        <v>36</v>
      </c>
      <c r="K124">
        <v>2</v>
      </c>
      <c r="L124" s="3">
        <v>180000</v>
      </c>
      <c r="M124" s="3">
        <v>123500</v>
      </c>
      <c r="N124">
        <v>0</v>
      </c>
      <c r="O124" t="s">
        <v>57</v>
      </c>
      <c r="P124" t="s">
        <v>48</v>
      </c>
      <c r="Q124" s="3">
        <f>Table13[[#This Row],[Quantity]]*Table13[[#This Row],[UnitPrice_NGN]]</f>
        <v>360000</v>
      </c>
      <c r="R124" s="9">
        <f>Table13[[#This Row],[GrossRevenue]]*(1-Table13[[#This Row],[DiscountRate]])</f>
        <v>360000</v>
      </c>
      <c r="S124" s="3">
        <f>Table13[[#This Row],[Quantity]]*Table13[[#This Row],[UnitCost_NGN]]</f>
        <v>247000</v>
      </c>
      <c r="T124" s="3">
        <f>Table13[[#This Row],[NetRevenue]]-Table13[[#This Row],[TotalCost]]</f>
        <v>113000</v>
      </c>
      <c r="U124" s="3"/>
    </row>
    <row r="125" spans="1:21" x14ac:dyDescent="0.25">
      <c r="A125" t="s">
        <v>313</v>
      </c>
      <c r="B125" s="20">
        <v>45797</v>
      </c>
      <c r="C125" t="s">
        <v>30</v>
      </c>
      <c r="D125" t="s">
        <v>120</v>
      </c>
      <c r="E125" t="s">
        <v>121</v>
      </c>
      <c r="F125" t="s">
        <v>122</v>
      </c>
      <c r="G125" t="s">
        <v>22</v>
      </c>
      <c r="H125" t="s">
        <v>63</v>
      </c>
      <c r="I125" t="s">
        <v>97</v>
      </c>
      <c r="J125" t="s">
        <v>56</v>
      </c>
      <c r="K125">
        <v>3</v>
      </c>
      <c r="L125" s="3">
        <v>125000</v>
      </c>
      <c r="M125" s="3">
        <v>89250</v>
      </c>
      <c r="N125">
        <v>0.05</v>
      </c>
      <c r="O125" t="s">
        <v>26</v>
      </c>
      <c r="P125" t="s">
        <v>48</v>
      </c>
      <c r="Q125" s="3">
        <f>Table13[[#This Row],[Quantity]]*Table13[[#This Row],[UnitPrice_NGN]]</f>
        <v>375000</v>
      </c>
      <c r="R125" s="9">
        <f>Table13[[#This Row],[GrossRevenue]]*(1-Table13[[#This Row],[DiscountRate]])</f>
        <v>356250</v>
      </c>
      <c r="S125" s="3">
        <f>Table13[[#This Row],[Quantity]]*Table13[[#This Row],[UnitCost_NGN]]</f>
        <v>267750</v>
      </c>
      <c r="T125" s="3">
        <f>Table13[[#This Row],[NetRevenue]]-Table13[[#This Row],[TotalCost]]</f>
        <v>88500</v>
      </c>
      <c r="U125" s="3"/>
    </row>
    <row r="126" spans="1:21" x14ac:dyDescent="0.25">
      <c r="A126" t="s">
        <v>315</v>
      </c>
      <c r="B126" s="20">
        <v>45999</v>
      </c>
      <c r="C126" t="s">
        <v>18</v>
      </c>
      <c r="D126" t="s">
        <v>41</v>
      </c>
      <c r="E126" t="s">
        <v>42</v>
      </c>
      <c r="F126" t="s">
        <v>43</v>
      </c>
      <c r="G126" t="s">
        <v>44</v>
      </c>
      <c r="H126" t="s">
        <v>112</v>
      </c>
      <c r="I126" t="s">
        <v>51</v>
      </c>
      <c r="J126" t="s">
        <v>36</v>
      </c>
      <c r="K126">
        <v>5</v>
      </c>
      <c r="L126" s="3">
        <v>280000</v>
      </c>
      <c r="M126" s="3">
        <v>220500</v>
      </c>
      <c r="N126">
        <v>0.1</v>
      </c>
      <c r="O126" t="s">
        <v>148</v>
      </c>
      <c r="P126" t="s">
        <v>48</v>
      </c>
      <c r="Q126" s="3">
        <f>Table13[[#This Row],[Quantity]]*Table13[[#This Row],[UnitPrice_NGN]]</f>
        <v>1400000</v>
      </c>
      <c r="R126" s="9">
        <f>Table13[[#This Row],[GrossRevenue]]*(1-Table13[[#This Row],[DiscountRate]])</f>
        <v>1260000</v>
      </c>
      <c r="S126" s="3">
        <f>Table13[[#This Row],[Quantity]]*Table13[[#This Row],[UnitCost_NGN]]</f>
        <v>1102500</v>
      </c>
      <c r="T126" s="3">
        <f>Table13[[#This Row],[NetRevenue]]-Table13[[#This Row],[TotalCost]]</f>
        <v>157500</v>
      </c>
      <c r="U126" s="3"/>
    </row>
    <row r="127" spans="1:21" x14ac:dyDescent="0.25">
      <c r="A127" t="s">
        <v>317</v>
      </c>
      <c r="B127" s="20">
        <v>45806</v>
      </c>
      <c r="C127" t="s">
        <v>18</v>
      </c>
      <c r="D127" t="s">
        <v>60</v>
      </c>
      <c r="E127" t="s">
        <v>61</v>
      </c>
      <c r="F127" t="s">
        <v>43</v>
      </c>
      <c r="G127" t="s">
        <v>22</v>
      </c>
      <c r="H127" t="s">
        <v>112</v>
      </c>
      <c r="I127" t="s">
        <v>35</v>
      </c>
      <c r="J127" t="s">
        <v>36</v>
      </c>
      <c r="K127">
        <v>2</v>
      </c>
      <c r="L127" s="3">
        <v>427500</v>
      </c>
      <c r="M127" s="3">
        <v>350000</v>
      </c>
      <c r="N127">
        <v>0</v>
      </c>
      <c r="O127" t="s">
        <v>26</v>
      </c>
      <c r="P127" t="s">
        <v>48</v>
      </c>
      <c r="Q127" s="3">
        <f>Table13[[#This Row],[Quantity]]*Table13[[#This Row],[UnitPrice_NGN]]</f>
        <v>855000</v>
      </c>
      <c r="R127" s="9">
        <f>Table13[[#This Row],[GrossRevenue]]*(1-Table13[[#This Row],[DiscountRate]])</f>
        <v>855000</v>
      </c>
      <c r="S127" s="3">
        <f>Table13[[#This Row],[Quantity]]*Table13[[#This Row],[UnitCost_NGN]]</f>
        <v>700000</v>
      </c>
      <c r="T127" s="3">
        <f>Table13[[#This Row],[NetRevenue]]-Table13[[#This Row],[TotalCost]]</f>
        <v>155000</v>
      </c>
      <c r="U127" s="3"/>
    </row>
    <row r="128" spans="1:21" x14ac:dyDescent="0.25">
      <c r="A128" t="s">
        <v>319</v>
      </c>
      <c r="B128" s="20">
        <v>45944</v>
      </c>
      <c r="C128" t="s">
        <v>40</v>
      </c>
      <c r="D128" t="s">
        <v>157</v>
      </c>
      <c r="E128" t="s">
        <v>158</v>
      </c>
      <c r="F128" t="s">
        <v>21</v>
      </c>
      <c r="G128" t="s">
        <v>22</v>
      </c>
      <c r="H128" t="s">
        <v>112</v>
      </c>
      <c r="I128" t="s">
        <v>75</v>
      </c>
      <c r="J128" t="s">
        <v>36</v>
      </c>
      <c r="K128">
        <v>3</v>
      </c>
      <c r="L128" s="3">
        <v>189000</v>
      </c>
      <c r="M128" s="3">
        <v>130000</v>
      </c>
      <c r="N128">
        <v>0.1</v>
      </c>
      <c r="O128" t="s">
        <v>148</v>
      </c>
      <c r="P128" t="s">
        <v>27</v>
      </c>
      <c r="Q128" s="3">
        <f>Table13[[#This Row],[Quantity]]*Table13[[#This Row],[UnitPrice_NGN]]</f>
        <v>567000</v>
      </c>
      <c r="R128" s="9">
        <f>Table13[[#This Row],[GrossRevenue]]*(1-Table13[[#This Row],[DiscountRate]])</f>
        <v>510300</v>
      </c>
      <c r="S128" s="3">
        <f>Table13[[#This Row],[Quantity]]*Table13[[#This Row],[UnitCost_NGN]]</f>
        <v>390000</v>
      </c>
      <c r="T128" s="3">
        <f>Table13[[#This Row],[NetRevenue]]-Table13[[#This Row],[TotalCost]]</f>
        <v>120300</v>
      </c>
      <c r="U128" s="3"/>
    </row>
    <row r="129" spans="1:21" x14ac:dyDescent="0.25">
      <c r="A129" t="s">
        <v>321</v>
      </c>
      <c r="B129" s="20">
        <v>45877</v>
      </c>
      <c r="C129" t="s">
        <v>40</v>
      </c>
      <c r="D129" t="s">
        <v>31</v>
      </c>
      <c r="E129" t="s">
        <v>32</v>
      </c>
      <c r="F129" t="s">
        <v>21</v>
      </c>
      <c r="G129" t="s">
        <v>33</v>
      </c>
      <c r="H129" t="s">
        <v>63</v>
      </c>
      <c r="I129" t="s">
        <v>55</v>
      </c>
      <c r="J129" t="s">
        <v>56</v>
      </c>
      <c r="K129">
        <v>3</v>
      </c>
      <c r="L129" s="3">
        <v>43200</v>
      </c>
      <c r="M129" s="3">
        <v>30000</v>
      </c>
      <c r="N129">
        <v>0.1</v>
      </c>
      <c r="O129" t="s">
        <v>52</v>
      </c>
      <c r="P129" t="s">
        <v>133</v>
      </c>
      <c r="Q129" s="3">
        <f>Table13[[#This Row],[Quantity]]*Table13[[#This Row],[UnitPrice_NGN]]</f>
        <v>129600</v>
      </c>
      <c r="R129" s="9">
        <f>Table13[[#This Row],[GrossRevenue]]*(1-Table13[[#This Row],[DiscountRate]])</f>
        <v>116640</v>
      </c>
      <c r="S129" s="3">
        <f>Table13[[#This Row],[Quantity]]*Table13[[#This Row],[UnitCost_NGN]]</f>
        <v>90000</v>
      </c>
      <c r="T129" s="3">
        <f>Table13[[#This Row],[NetRevenue]]-Table13[[#This Row],[TotalCost]]</f>
        <v>26640</v>
      </c>
      <c r="U129" s="3"/>
    </row>
    <row r="130" spans="1:21" x14ac:dyDescent="0.25">
      <c r="A130" t="s">
        <v>323</v>
      </c>
      <c r="B130" s="20">
        <v>45843</v>
      </c>
      <c r="C130" t="s">
        <v>40</v>
      </c>
      <c r="D130" t="s">
        <v>31</v>
      </c>
      <c r="E130" t="s">
        <v>32</v>
      </c>
      <c r="F130" t="s">
        <v>21</v>
      </c>
      <c r="G130" t="s">
        <v>22</v>
      </c>
      <c r="H130" t="s">
        <v>34</v>
      </c>
      <c r="I130" t="s">
        <v>55</v>
      </c>
      <c r="J130" t="s">
        <v>56</v>
      </c>
      <c r="K130">
        <v>12</v>
      </c>
      <c r="L130" s="3">
        <v>45600</v>
      </c>
      <c r="M130" s="3">
        <v>31500</v>
      </c>
      <c r="N130">
        <v>0.15</v>
      </c>
      <c r="O130" t="s">
        <v>26</v>
      </c>
      <c r="P130" t="s">
        <v>48</v>
      </c>
      <c r="Q130" s="3">
        <f>Table13[[#This Row],[Quantity]]*Table13[[#This Row],[UnitPrice_NGN]]</f>
        <v>547200</v>
      </c>
      <c r="R130" s="9">
        <f>Table13[[#This Row],[GrossRevenue]]*(1-Table13[[#This Row],[DiscountRate]])</f>
        <v>465120</v>
      </c>
      <c r="S130" s="3">
        <f>Table13[[#This Row],[Quantity]]*Table13[[#This Row],[UnitCost_NGN]]</f>
        <v>378000</v>
      </c>
      <c r="T130" s="3">
        <f>Table13[[#This Row],[NetRevenue]]-Table13[[#This Row],[TotalCost]]</f>
        <v>87120</v>
      </c>
      <c r="U130" s="3"/>
    </row>
    <row r="131" spans="1:21" x14ac:dyDescent="0.25">
      <c r="A131" t="s">
        <v>325</v>
      </c>
      <c r="B131" s="20">
        <v>45831</v>
      </c>
      <c r="C131" t="s">
        <v>40</v>
      </c>
      <c r="D131" t="s">
        <v>83</v>
      </c>
      <c r="E131" t="s">
        <v>84</v>
      </c>
      <c r="F131" t="s">
        <v>85</v>
      </c>
      <c r="G131" t="s">
        <v>44</v>
      </c>
      <c r="H131" t="s">
        <v>96</v>
      </c>
      <c r="I131" t="s">
        <v>45</v>
      </c>
      <c r="J131" t="s">
        <v>46</v>
      </c>
      <c r="K131">
        <v>4</v>
      </c>
      <c r="L131" s="3">
        <v>18500</v>
      </c>
      <c r="M131" s="3">
        <v>14500</v>
      </c>
      <c r="N131">
        <v>0.15</v>
      </c>
      <c r="O131" t="s">
        <v>52</v>
      </c>
      <c r="P131" t="s">
        <v>48</v>
      </c>
      <c r="Q131" s="3">
        <f>Table13[[#This Row],[Quantity]]*Table13[[#This Row],[UnitPrice_NGN]]</f>
        <v>74000</v>
      </c>
      <c r="R131" s="9">
        <f>Table13[[#This Row],[GrossRevenue]]*(1-Table13[[#This Row],[DiscountRate]])</f>
        <v>62900</v>
      </c>
      <c r="S131" s="3">
        <f>Table13[[#This Row],[Quantity]]*Table13[[#This Row],[UnitCost_NGN]]</f>
        <v>58000</v>
      </c>
      <c r="T131" s="3">
        <f>Table13[[#This Row],[NetRevenue]]-Table13[[#This Row],[TotalCost]]</f>
        <v>4900</v>
      </c>
      <c r="U131" s="3"/>
    </row>
    <row r="132" spans="1:21" x14ac:dyDescent="0.25">
      <c r="A132" t="s">
        <v>327</v>
      </c>
      <c r="B132" s="20">
        <v>45988</v>
      </c>
      <c r="C132" t="s">
        <v>18</v>
      </c>
      <c r="D132" t="s">
        <v>78</v>
      </c>
      <c r="E132" t="s">
        <v>79</v>
      </c>
      <c r="F132" t="s">
        <v>80</v>
      </c>
      <c r="G132" t="s">
        <v>22</v>
      </c>
      <c r="H132" t="s">
        <v>34</v>
      </c>
      <c r="I132" t="s">
        <v>93</v>
      </c>
      <c r="J132" t="s">
        <v>46</v>
      </c>
      <c r="K132">
        <v>2</v>
      </c>
      <c r="L132" s="3">
        <v>104500</v>
      </c>
      <c r="M132" s="3">
        <v>82000</v>
      </c>
      <c r="N132">
        <v>0</v>
      </c>
      <c r="O132" t="s">
        <v>57</v>
      </c>
      <c r="P132" t="s">
        <v>48</v>
      </c>
      <c r="Q132" s="3">
        <f>Table13[[#This Row],[Quantity]]*Table13[[#This Row],[UnitPrice_NGN]]</f>
        <v>209000</v>
      </c>
      <c r="R132" s="9">
        <f>Table13[[#This Row],[GrossRevenue]]*(1-Table13[[#This Row],[DiscountRate]])</f>
        <v>209000</v>
      </c>
      <c r="S132" s="3">
        <f>Table13[[#This Row],[Quantity]]*Table13[[#This Row],[UnitCost_NGN]]</f>
        <v>164000</v>
      </c>
      <c r="T132" s="3">
        <f>Table13[[#This Row],[NetRevenue]]-Table13[[#This Row],[TotalCost]]</f>
        <v>45000</v>
      </c>
      <c r="U132" s="3"/>
    </row>
    <row r="133" spans="1:21" x14ac:dyDescent="0.25">
      <c r="A133" t="s">
        <v>329</v>
      </c>
      <c r="B133" s="20">
        <v>45979</v>
      </c>
      <c r="C133" t="s">
        <v>40</v>
      </c>
      <c r="D133" t="s">
        <v>157</v>
      </c>
      <c r="E133" t="s">
        <v>158</v>
      </c>
      <c r="F133" t="s">
        <v>21</v>
      </c>
      <c r="G133" t="s">
        <v>33</v>
      </c>
      <c r="H133" t="s">
        <v>23</v>
      </c>
      <c r="I133" t="s">
        <v>113</v>
      </c>
      <c r="J133" t="s">
        <v>36</v>
      </c>
      <c r="K133">
        <v>4</v>
      </c>
      <c r="L133" s="3">
        <v>176000</v>
      </c>
      <c r="M133" s="3">
        <v>109250</v>
      </c>
      <c r="N133">
        <v>0</v>
      </c>
      <c r="O133" t="s">
        <v>47</v>
      </c>
      <c r="P133" t="s">
        <v>72</v>
      </c>
      <c r="Q133" s="3">
        <f>Table13[[#This Row],[Quantity]]*Table13[[#This Row],[UnitPrice_NGN]]</f>
        <v>704000</v>
      </c>
      <c r="R133" s="9">
        <f>Table13[[#This Row],[GrossRevenue]]*(1-Table13[[#This Row],[DiscountRate]])</f>
        <v>704000</v>
      </c>
      <c r="S133" s="3">
        <f>Table13[[#This Row],[Quantity]]*Table13[[#This Row],[UnitCost_NGN]]</f>
        <v>437000</v>
      </c>
      <c r="T133" s="3">
        <f>Table13[[#This Row],[NetRevenue]]-Table13[[#This Row],[TotalCost]]</f>
        <v>267000</v>
      </c>
      <c r="U133" s="3"/>
    </row>
    <row r="134" spans="1:21" x14ac:dyDescent="0.25">
      <c r="A134" t="s">
        <v>331</v>
      </c>
      <c r="B134" s="20">
        <v>45981</v>
      </c>
      <c r="C134" t="s">
        <v>40</v>
      </c>
      <c r="D134" t="s">
        <v>88</v>
      </c>
      <c r="E134" t="s">
        <v>89</v>
      </c>
      <c r="F134" t="s">
        <v>43</v>
      </c>
      <c r="G134" t="s">
        <v>22</v>
      </c>
      <c r="H134" t="s">
        <v>63</v>
      </c>
      <c r="I134" t="s">
        <v>24</v>
      </c>
      <c r="J134" t="s">
        <v>25</v>
      </c>
      <c r="K134">
        <v>1</v>
      </c>
      <c r="L134" s="3">
        <v>19800</v>
      </c>
      <c r="M134" s="3">
        <v>13650</v>
      </c>
      <c r="N134">
        <v>0.05</v>
      </c>
      <c r="O134" t="s">
        <v>52</v>
      </c>
      <c r="P134" t="s">
        <v>48</v>
      </c>
      <c r="Q134" s="3">
        <f>Table13[[#This Row],[Quantity]]*Table13[[#This Row],[UnitPrice_NGN]]</f>
        <v>19800</v>
      </c>
      <c r="R134" s="9">
        <f>Table13[[#This Row],[GrossRevenue]]*(1-Table13[[#This Row],[DiscountRate]])</f>
        <v>18810</v>
      </c>
      <c r="S134" s="3">
        <f>Table13[[#This Row],[Quantity]]*Table13[[#This Row],[UnitCost_NGN]]</f>
        <v>13650</v>
      </c>
      <c r="T134" s="3">
        <f>Table13[[#This Row],[NetRevenue]]-Table13[[#This Row],[TotalCost]]</f>
        <v>5160</v>
      </c>
      <c r="U134" s="3"/>
    </row>
    <row r="135" spans="1:21" x14ac:dyDescent="0.25">
      <c r="A135" t="s">
        <v>333</v>
      </c>
      <c r="B135" s="20">
        <v>45697</v>
      </c>
      <c r="C135" t="s">
        <v>18</v>
      </c>
      <c r="D135" t="s">
        <v>110</v>
      </c>
      <c r="E135" t="s">
        <v>111</v>
      </c>
      <c r="F135" t="s">
        <v>85</v>
      </c>
      <c r="G135" t="s">
        <v>33</v>
      </c>
      <c r="H135" t="s">
        <v>112</v>
      </c>
      <c r="I135" t="s">
        <v>70</v>
      </c>
      <c r="J135" t="s">
        <v>71</v>
      </c>
      <c r="K135">
        <v>3</v>
      </c>
      <c r="L135" s="3">
        <v>85500</v>
      </c>
      <c r="M135" s="3">
        <v>62000</v>
      </c>
      <c r="N135">
        <v>0</v>
      </c>
      <c r="O135" t="s">
        <v>148</v>
      </c>
      <c r="P135" t="s">
        <v>27</v>
      </c>
      <c r="Q135" s="3">
        <f>Table13[[#This Row],[Quantity]]*Table13[[#This Row],[UnitPrice_NGN]]</f>
        <v>256500</v>
      </c>
      <c r="R135" s="9">
        <f>Table13[[#This Row],[GrossRevenue]]*(1-Table13[[#This Row],[DiscountRate]])</f>
        <v>256500</v>
      </c>
      <c r="S135" s="3">
        <f>Table13[[#This Row],[Quantity]]*Table13[[#This Row],[UnitCost_NGN]]</f>
        <v>186000</v>
      </c>
      <c r="T135" s="3">
        <f>Table13[[#This Row],[NetRevenue]]-Table13[[#This Row],[TotalCost]]</f>
        <v>70500</v>
      </c>
      <c r="U135" s="3"/>
    </row>
    <row r="136" spans="1:21" x14ac:dyDescent="0.25">
      <c r="A136" t="s">
        <v>335</v>
      </c>
      <c r="B136" s="20">
        <v>45735</v>
      </c>
      <c r="C136" t="s">
        <v>40</v>
      </c>
      <c r="D136" t="s">
        <v>131</v>
      </c>
      <c r="E136" t="s">
        <v>132</v>
      </c>
      <c r="F136" t="s">
        <v>80</v>
      </c>
      <c r="G136" t="s">
        <v>22</v>
      </c>
      <c r="H136" t="s">
        <v>63</v>
      </c>
      <c r="I136" t="s">
        <v>97</v>
      </c>
      <c r="J136" t="s">
        <v>56</v>
      </c>
      <c r="K136">
        <v>5</v>
      </c>
      <c r="L136" s="3">
        <v>125000</v>
      </c>
      <c r="M136" s="3">
        <v>89250</v>
      </c>
      <c r="N136">
        <v>0.1</v>
      </c>
      <c r="O136" t="s">
        <v>52</v>
      </c>
      <c r="P136" t="s">
        <v>48</v>
      </c>
      <c r="Q136" s="3">
        <f>Table13[[#This Row],[Quantity]]*Table13[[#This Row],[UnitPrice_NGN]]</f>
        <v>625000</v>
      </c>
      <c r="R136" s="9">
        <f>Table13[[#This Row],[GrossRevenue]]*(1-Table13[[#This Row],[DiscountRate]])</f>
        <v>562500</v>
      </c>
      <c r="S136" s="3">
        <f>Table13[[#This Row],[Quantity]]*Table13[[#This Row],[UnitCost_NGN]]</f>
        <v>446250</v>
      </c>
      <c r="T136" s="3">
        <f>Table13[[#This Row],[NetRevenue]]-Table13[[#This Row],[TotalCost]]</f>
        <v>116250</v>
      </c>
      <c r="U136" s="3"/>
    </row>
    <row r="137" spans="1:21" x14ac:dyDescent="0.25">
      <c r="A137" t="s">
        <v>337</v>
      </c>
      <c r="B137" s="20">
        <v>45926</v>
      </c>
      <c r="C137" t="s">
        <v>30</v>
      </c>
      <c r="D137" t="s">
        <v>120</v>
      </c>
      <c r="E137" t="s">
        <v>121</v>
      </c>
      <c r="F137" t="s">
        <v>122</v>
      </c>
      <c r="G137" t="s">
        <v>44</v>
      </c>
      <c r="H137" t="s">
        <v>63</v>
      </c>
      <c r="I137" t="s">
        <v>93</v>
      </c>
      <c r="J137" t="s">
        <v>46</v>
      </c>
      <c r="K137">
        <v>1</v>
      </c>
      <c r="L137" s="3">
        <v>90250</v>
      </c>
      <c r="M137" s="3">
        <v>86100</v>
      </c>
      <c r="N137">
        <v>0.05</v>
      </c>
      <c r="O137" t="s">
        <v>47</v>
      </c>
      <c r="P137" t="s">
        <v>133</v>
      </c>
      <c r="Q137" s="3">
        <f>Table13[[#This Row],[Quantity]]*Table13[[#This Row],[UnitPrice_NGN]]</f>
        <v>90250</v>
      </c>
      <c r="R137" s="9">
        <f>Table13[[#This Row],[GrossRevenue]]*(1-Table13[[#This Row],[DiscountRate]])</f>
        <v>85737.5</v>
      </c>
      <c r="S137" s="3">
        <f>Table13[[#This Row],[Quantity]]*Table13[[#This Row],[UnitCost_NGN]]</f>
        <v>86100</v>
      </c>
      <c r="T137" s="3">
        <f>Table13[[#This Row],[NetRevenue]]-Table13[[#This Row],[TotalCost]]</f>
        <v>-362.5</v>
      </c>
      <c r="U137" s="3"/>
    </row>
    <row r="138" spans="1:21" x14ac:dyDescent="0.25">
      <c r="A138" t="s">
        <v>339</v>
      </c>
      <c r="B138" s="20">
        <v>45989</v>
      </c>
      <c r="C138" t="s">
        <v>18</v>
      </c>
      <c r="D138" t="s">
        <v>83</v>
      </c>
      <c r="E138" t="s">
        <v>84</v>
      </c>
      <c r="F138" t="s">
        <v>85</v>
      </c>
      <c r="G138" t="s">
        <v>62</v>
      </c>
      <c r="H138" t="s">
        <v>96</v>
      </c>
      <c r="I138" t="s">
        <v>70</v>
      </c>
      <c r="J138" t="s">
        <v>71</v>
      </c>
      <c r="K138">
        <v>3</v>
      </c>
      <c r="L138" s="3">
        <v>95000</v>
      </c>
      <c r="M138" s="3">
        <v>58900</v>
      </c>
      <c r="N138">
        <v>0.15</v>
      </c>
      <c r="O138" t="s">
        <v>26</v>
      </c>
      <c r="P138" t="s">
        <v>48</v>
      </c>
      <c r="Q138" s="3">
        <f>Table13[[#This Row],[Quantity]]*Table13[[#This Row],[UnitPrice_NGN]]</f>
        <v>285000</v>
      </c>
      <c r="R138" s="9">
        <f>Table13[[#This Row],[GrossRevenue]]*(1-Table13[[#This Row],[DiscountRate]])</f>
        <v>242250</v>
      </c>
      <c r="S138" s="3">
        <f>Table13[[#This Row],[Quantity]]*Table13[[#This Row],[UnitCost_NGN]]</f>
        <v>176700</v>
      </c>
      <c r="T138" s="3">
        <f>Table13[[#This Row],[NetRevenue]]-Table13[[#This Row],[TotalCost]]</f>
        <v>65550</v>
      </c>
      <c r="U138" s="3"/>
    </row>
    <row r="139" spans="1:21" x14ac:dyDescent="0.25">
      <c r="A139" t="s">
        <v>341</v>
      </c>
      <c r="B139" s="20">
        <v>45699</v>
      </c>
      <c r="C139" t="s">
        <v>30</v>
      </c>
      <c r="D139" t="s">
        <v>41</v>
      </c>
      <c r="E139" t="s">
        <v>42</v>
      </c>
      <c r="F139" t="s">
        <v>43</v>
      </c>
      <c r="G139" t="s">
        <v>44</v>
      </c>
      <c r="H139" t="s">
        <v>63</v>
      </c>
      <c r="I139" t="s">
        <v>70</v>
      </c>
      <c r="J139" t="s">
        <v>71</v>
      </c>
      <c r="K139">
        <v>5</v>
      </c>
      <c r="L139" s="3">
        <v>99750</v>
      </c>
      <c r="M139" s="3">
        <v>62000</v>
      </c>
      <c r="N139">
        <v>0</v>
      </c>
      <c r="O139" t="s">
        <v>57</v>
      </c>
      <c r="P139" t="s">
        <v>133</v>
      </c>
      <c r="Q139" s="3">
        <f>Table13[[#This Row],[Quantity]]*Table13[[#This Row],[UnitPrice_NGN]]</f>
        <v>498750</v>
      </c>
      <c r="R139" s="9">
        <f>Table13[[#This Row],[GrossRevenue]]*(1-Table13[[#This Row],[DiscountRate]])</f>
        <v>498750</v>
      </c>
      <c r="S139" s="3">
        <f>Table13[[#This Row],[Quantity]]*Table13[[#This Row],[UnitCost_NGN]]</f>
        <v>310000</v>
      </c>
      <c r="T139" s="3">
        <f>Table13[[#This Row],[NetRevenue]]-Table13[[#This Row],[TotalCost]]</f>
        <v>188750</v>
      </c>
      <c r="U139" s="3"/>
    </row>
    <row r="140" spans="1:21" x14ac:dyDescent="0.25">
      <c r="A140" t="s">
        <v>343</v>
      </c>
      <c r="B140" s="20">
        <v>45944</v>
      </c>
      <c r="C140" t="s">
        <v>30</v>
      </c>
      <c r="D140" t="s">
        <v>136</v>
      </c>
      <c r="E140" t="s">
        <v>137</v>
      </c>
      <c r="F140" t="s">
        <v>122</v>
      </c>
      <c r="G140" t="s">
        <v>62</v>
      </c>
      <c r="H140" t="s">
        <v>34</v>
      </c>
      <c r="I140" t="s">
        <v>24</v>
      </c>
      <c r="J140" t="s">
        <v>25</v>
      </c>
      <c r="K140">
        <v>5</v>
      </c>
      <c r="L140" s="3">
        <v>20900</v>
      </c>
      <c r="M140" s="3">
        <v>12350</v>
      </c>
      <c r="N140">
        <v>0</v>
      </c>
      <c r="O140" t="s">
        <v>52</v>
      </c>
      <c r="P140" t="s">
        <v>72</v>
      </c>
      <c r="Q140" s="3">
        <f>Table13[[#This Row],[Quantity]]*Table13[[#This Row],[UnitPrice_NGN]]</f>
        <v>104500</v>
      </c>
      <c r="R140" s="9">
        <f>Table13[[#This Row],[GrossRevenue]]*(1-Table13[[#This Row],[DiscountRate]])</f>
        <v>104500</v>
      </c>
      <c r="S140" s="3">
        <f>Table13[[#This Row],[Quantity]]*Table13[[#This Row],[UnitCost_NGN]]</f>
        <v>61750</v>
      </c>
      <c r="T140" s="3">
        <f>Table13[[#This Row],[NetRevenue]]-Table13[[#This Row],[TotalCost]]</f>
        <v>42750</v>
      </c>
      <c r="U140" s="3"/>
    </row>
    <row r="141" spans="1:21" x14ac:dyDescent="0.25">
      <c r="A141" t="s">
        <v>344</v>
      </c>
      <c r="B141" s="20">
        <v>45816</v>
      </c>
      <c r="C141" t="s">
        <v>18</v>
      </c>
      <c r="D141" t="s">
        <v>120</v>
      </c>
      <c r="E141" t="s">
        <v>121</v>
      </c>
      <c r="F141" t="s">
        <v>122</v>
      </c>
      <c r="G141" t="s">
        <v>62</v>
      </c>
      <c r="H141" t="s">
        <v>112</v>
      </c>
      <c r="I141" t="s">
        <v>24</v>
      </c>
      <c r="J141" t="s">
        <v>25</v>
      </c>
      <c r="K141">
        <v>3</v>
      </c>
      <c r="L141" s="3">
        <v>22000</v>
      </c>
      <c r="M141" s="3">
        <v>12350</v>
      </c>
      <c r="N141">
        <v>0</v>
      </c>
      <c r="O141" t="s">
        <v>64</v>
      </c>
      <c r="P141" t="s">
        <v>48</v>
      </c>
      <c r="Q141" s="3">
        <f>Table13[[#This Row],[Quantity]]*Table13[[#This Row],[UnitPrice_NGN]]</f>
        <v>66000</v>
      </c>
      <c r="R141" s="9">
        <f>Table13[[#This Row],[GrossRevenue]]*(1-Table13[[#This Row],[DiscountRate]])</f>
        <v>66000</v>
      </c>
      <c r="S141" s="3">
        <f>Table13[[#This Row],[Quantity]]*Table13[[#This Row],[UnitCost_NGN]]</f>
        <v>37050</v>
      </c>
      <c r="T141" s="3">
        <f>Table13[[#This Row],[NetRevenue]]-Table13[[#This Row],[TotalCost]]</f>
        <v>28950</v>
      </c>
      <c r="U141" s="3"/>
    </row>
    <row r="142" spans="1:21" x14ac:dyDescent="0.25">
      <c r="A142" t="s">
        <v>346</v>
      </c>
      <c r="B142" s="20">
        <v>45934</v>
      </c>
      <c r="C142" t="s">
        <v>30</v>
      </c>
      <c r="D142" t="s">
        <v>157</v>
      </c>
      <c r="E142" t="s">
        <v>158</v>
      </c>
      <c r="F142" t="s">
        <v>21</v>
      </c>
      <c r="G142" t="s">
        <v>22</v>
      </c>
      <c r="H142" t="s">
        <v>63</v>
      </c>
      <c r="I142" t="s">
        <v>113</v>
      </c>
      <c r="J142" t="s">
        <v>36</v>
      </c>
      <c r="K142">
        <v>1</v>
      </c>
      <c r="L142" s="3">
        <v>160000</v>
      </c>
      <c r="M142" s="3">
        <v>109250</v>
      </c>
      <c r="N142">
        <v>0.1</v>
      </c>
      <c r="O142" t="s">
        <v>90</v>
      </c>
      <c r="P142" t="s">
        <v>27</v>
      </c>
      <c r="Q142" s="3">
        <f>Table13[[#This Row],[Quantity]]*Table13[[#This Row],[UnitPrice_NGN]]</f>
        <v>160000</v>
      </c>
      <c r="R142" s="9">
        <f>Table13[[#This Row],[GrossRevenue]]*(1-Table13[[#This Row],[DiscountRate]])</f>
        <v>144000</v>
      </c>
      <c r="S142" s="3">
        <f>Table13[[#This Row],[Quantity]]*Table13[[#This Row],[UnitCost_NGN]]</f>
        <v>109250</v>
      </c>
      <c r="T142" s="3">
        <f>Table13[[#This Row],[NetRevenue]]-Table13[[#This Row],[TotalCost]]</f>
        <v>34750</v>
      </c>
      <c r="U142" s="3"/>
    </row>
    <row r="143" spans="1:21" x14ac:dyDescent="0.25">
      <c r="A143" t="s">
        <v>348</v>
      </c>
      <c r="B143" s="20">
        <v>45882</v>
      </c>
      <c r="C143" t="s">
        <v>40</v>
      </c>
      <c r="D143" t="s">
        <v>83</v>
      </c>
      <c r="E143" t="s">
        <v>84</v>
      </c>
      <c r="F143" t="s">
        <v>85</v>
      </c>
      <c r="G143" t="s">
        <v>62</v>
      </c>
      <c r="H143" t="s">
        <v>34</v>
      </c>
      <c r="I143" t="s">
        <v>45</v>
      </c>
      <c r="J143" t="s">
        <v>46</v>
      </c>
      <c r="K143">
        <v>1</v>
      </c>
      <c r="L143" s="3">
        <v>17575</v>
      </c>
      <c r="M143" s="3">
        <v>14500</v>
      </c>
      <c r="N143">
        <v>0.15</v>
      </c>
      <c r="O143" t="s">
        <v>37</v>
      </c>
      <c r="P143" t="s">
        <v>48</v>
      </c>
      <c r="Q143" s="3">
        <f>Table13[[#This Row],[Quantity]]*Table13[[#This Row],[UnitPrice_NGN]]</f>
        <v>17575</v>
      </c>
      <c r="R143" s="9">
        <f>Table13[[#This Row],[GrossRevenue]]*(1-Table13[[#This Row],[DiscountRate]])</f>
        <v>14938.75</v>
      </c>
      <c r="S143" s="3">
        <f>Table13[[#This Row],[Quantity]]*Table13[[#This Row],[UnitCost_NGN]]</f>
        <v>14500</v>
      </c>
      <c r="T143" s="3">
        <f>Table13[[#This Row],[NetRevenue]]-Table13[[#This Row],[TotalCost]]</f>
        <v>438.75</v>
      </c>
      <c r="U143" s="3"/>
    </row>
    <row r="144" spans="1:21" x14ac:dyDescent="0.25">
      <c r="A144" t="s">
        <v>350</v>
      </c>
      <c r="B144" s="20">
        <v>45931</v>
      </c>
      <c r="C144" t="s">
        <v>40</v>
      </c>
      <c r="D144" t="s">
        <v>41</v>
      </c>
      <c r="E144" t="s">
        <v>42</v>
      </c>
      <c r="F144" t="s">
        <v>43</v>
      </c>
      <c r="G144" t="s">
        <v>33</v>
      </c>
      <c r="H144" t="s">
        <v>34</v>
      </c>
      <c r="I144" t="s">
        <v>45</v>
      </c>
      <c r="J144" t="s">
        <v>46</v>
      </c>
      <c r="K144">
        <v>6</v>
      </c>
      <c r="L144" s="3">
        <v>20350</v>
      </c>
      <c r="M144" s="3">
        <v>15225</v>
      </c>
      <c r="N144">
        <v>0</v>
      </c>
      <c r="O144" t="s">
        <v>47</v>
      </c>
      <c r="P144" t="s">
        <v>48</v>
      </c>
      <c r="Q144" s="3">
        <f>Table13[[#This Row],[Quantity]]*Table13[[#This Row],[UnitPrice_NGN]]</f>
        <v>122100</v>
      </c>
      <c r="R144" s="9">
        <f>Table13[[#This Row],[GrossRevenue]]*(1-Table13[[#This Row],[DiscountRate]])</f>
        <v>122100</v>
      </c>
      <c r="S144" s="3">
        <f>Table13[[#This Row],[Quantity]]*Table13[[#This Row],[UnitCost_NGN]]</f>
        <v>91350</v>
      </c>
      <c r="T144" s="3">
        <f>Table13[[#This Row],[NetRevenue]]-Table13[[#This Row],[TotalCost]]</f>
        <v>30750</v>
      </c>
      <c r="U144" s="3"/>
    </row>
    <row r="145" spans="1:21" x14ac:dyDescent="0.25">
      <c r="A145" t="s">
        <v>352</v>
      </c>
      <c r="B145" s="20">
        <v>45915</v>
      </c>
      <c r="C145" t="s">
        <v>40</v>
      </c>
      <c r="D145" t="s">
        <v>131</v>
      </c>
      <c r="E145" t="s">
        <v>132</v>
      </c>
      <c r="F145" t="s">
        <v>80</v>
      </c>
      <c r="G145" t="s">
        <v>44</v>
      </c>
      <c r="H145" t="s">
        <v>34</v>
      </c>
      <c r="I145" t="s">
        <v>24</v>
      </c>
      <c r="J145" t="s">
        <v>25</v>
      </c>
      <c r="K145">
        <v>15</v>
      </c>
      <c r="L145" s="3">
        <v>22000</v>
      </c>
      <c r="M145" s="3">
        <v>13000</v>
      </c>
      <c r="N145">
        <v>0.05</v>
      </c>
      <c r="O145" t="s">
        <v>90</v>
      </c>
      <c r="P145" t="s">
        <v>133</v>
      </c>
      <c r="Q145" s="3">
        <f>Table13[[#This Row],[Quantity]]*Table13[[#This Row],[UnitPrice_NGN]]</f>
        <v>330000</v>
      </c>
      <c r="R145" s="9">
        <f>Table13[[#This Row],[GrossRevenue]]*(1-Table13[[#This Row],[DiscountRate]])</f>
        <v>313500</v>
      </c>
      <c r="S145" s="3">
        <f>Table13[[#This Row],[Quantity]]*Table13[[#This Row],[UnitCost_NGN]]</f>
        <v>195000</v>
      </c>
      <c r="T145" s="3">
        <f>Table13[[#This Row],[NetRevenue]]-Table13[[#This Row],[TotalCost]]</f>
        <v>118500</v>
      </c>
      <c r="U145" s="3"/>
    </row>
    <row r="146" spans="1:21" x14ac:dyDescent="0.25">
      <c r="A146" t="s">
        <v>354</v>
      </c>
      <c r="B146" s="20">
        <v>45710</v>
      </c>
      <c r="C146" t="s">
        <v>30</v>
      </c>
      <c r="D146" t="s">
        <v>31</v>
      </c>
      <c r="E146" t="s">
        <v>32</v>
      </c>
      <c r="F146" t="s">
        <v>21</v>
      </c>
      <c r="G146" t="s">
        <v>22</v>
      </c>
      <c r="H146" t="s">
        <v>63</v>
      </c>
      <c r="I146" t="s">
        <v>70</v>
      </c>
      <c r="J146" t="s">
        <v>71</v>
      </c>
      <c r="K146">
        <v>5</v>
      </c>
      <c r="L146" s="3">
        <v>104500</v>
      </c>
      <c r="M146" s="3">
        <v>62000</v>
      </c>
      <c r="N146">
        <v>0.1</v>
      </c>
      <c r="O146" t="s">
        <v>52</v>
      </c>
      <c r="P146" t="s">
        <v>27</v>
      </c>
      <c r="Q146" s="3">
        <f>Table13[[#This Row],[Quantity]]*Table13[[#This Row],[UnitPrice_NGN]]</f>
        <v>522500</v>
      </c>
      <c r="R146" s="9">
        <f>Table13[[#This Row],[GrossRevenue]]*(1-Table13[[#This Row],[DiscountRate]])</f>
        <v>470250</v>
      </c>
      <c r="S146" s="3">
        <f>Table13[[#This Row],[Quantity]]*Table13[[#This Row],[UnitCost_NGN]]</f>
        <v>310000</v>
      </c>
      <c r="T146" s="3">
        <f>Table13[[#This Row],[NetRevenue]]-Table13[[#This Row],[TotalCost]]</f>
        <v>160250</v>
      </c>
      <c r="U146" s="3"/>
    </row>
    <row r="147" spans="1:21" x14ac:dyDescent="0.25">
      <c r="A147" t="s">
        <v>356</v>
      </c>
      <c r="B147" s="20">
        <v>45704</v>
      </c>
      <c r="C147" t="s">
        <v>40</v>
      </c>
      <c r="D147" t="s">
        <v>41</v>
      </c>
      <c r="E147" t="s">
        <v>42</v>
      </c>
      <c r="F147" t="s">
        <v>43</v>
      </c>
      <c r="G147" t="s">
        <v>62</v>
      </c>
      <c r="H147" t="s">
        <v>96</v>
      </c>
      <c r="I147" t="s">
        <v>75</v>
      </c>
      <c r="J147" t="s">
        <v>36</v>
      </c>
      <c r="K147">
        <v>3</v>
      </c>
      <c r="L147" s="3">
        <v>180000</v>
      </c>
      <c r="M147" s="3">
        <v>130000</v>
      </c>
      <c r="N147">
        <v>0.05</v>
      </c>
      <c r="O147" t="s">
        <v>26</v>
      </c>
      <c r="P147" t="s">
        <v>48</v>
      </c>
      <c r="Q147" s="3">
        <f>Table13[[#This Row],[Quantity]]*Table13[[#This Row],[UnitPrice_NGN]]</f>
        <v>540000</v>
      </c>
      <c r="R147" s="9">
        <f>Table13[[#This Row],[GrossRevenue]]*(1-Table13[[#This Row],[DiscountRate]])</f>
        <v>513000</v>
      </c>
      <c r="S147" s="3">
        <f>Table13[[#This Row],[Quantity]]*Table13[[#This Row],[UnitCost_NGN]]</f>
        <v>390000</v>
      </c>
      <c r="T147" s="3">
        <f>Table13[[#This Row],[NetRevenue]]-Table13[[#This Row],[TotalCost]]</f>
        <v>123000</v>
      </c>
      <c r="U147" s="3"/>
    </row>
    <row r="148" spans="1:21" x14ac:dyDescent="0.25">
      <c r="A148" t="s">
        <v>358</v>
      </c>
      <c r="B148" s="20">
        <v>45849</v>
      </c>
      <c r="C148" t="s">
        <v>18</v>
      </c>
      <c r="D148" t="s">
        <v>83</v>
      </c>
      <c r="E148" t="s">
        <v>84</v>
      </c>
      <c r="F148" t="s">
        <v>85</v>
      </c>
      <c r="G148" t="s">
        <v>62</v>
      </c>
      <c r="H148" t="s">
        <v>96</v>
      </c>
      <c r="I148" t="s">
        <v>35</v>
      </c>
      <c r="J148" t="s">
        <v>36</v>
      </c>
      <c r="K148">
        <v>3</v>
      </c>
      <c r="L148" s="3">
        <v>427500</v>
      </c>
      <c r="M148" s="3">
        <v>367500</v>
      </c>
      <c r="N148">
        <v>0</v>
      </c>
      <c r="O148" t="s">
        <v>47</v>
      </c>
      <c r="P148" t="s">
        <v>48</v>
      </c>
      <c r="Q148" s="3">
        <f>Table13[[#This Row],[Quantity]]*Table13[[#This Row],[UnitPrice_NGN]]</f>
        <v>1282500</v>
      </c>
      <c r="R148" s="9">
        <f>Table13[[#This Row],[GrossRevenue]]*(1-Table13[[#This Row],[DiscountRate]])</f>
        <v>1282500</v>
      </c>
      <c r="S148" s="3">
        <f>Table13[[#This Row],[Quantity]]*Table13[[#This Row],[UnitCost_NGN]]</f>
        <v>1102500</v>
      </c>
      <c r="T148" s="3">
        <f>Table13[[#This Row],[NetRevenue]]-Table13[[#This Row],[TotalCost]]</f>
        <v>180000</v>
      </c>
      <c r="U148" s="3"/>
    </row>
    <row r="149" spans="1:21" x14ac:dyDescent="0.25">
      <c r="A149" t="s">
        <v>359</v>
      </c>
      <c r="B149" s="20">
        <v>45729</v>
      </c>
      <c r="C149" t="s">
        <v>40</v>
      </c>
      <c r="D149" t="s">
        <v>157</v>
      </c>
      <c r="E149" t="s">
        <v>158</v>
      </c>
      <c r="F149" t="s">
        <v>21</v>
      </c>
      <c r="G149" t="s">
        <v>33</v>
      </c>
      <c r="H149" t="s">
        <v>23</v>
      </c>
      <c r="I149" t="s">
        <v>75</v>
      </c>
      <c r="J149" t="s">
        <v>36</v>
      </c>
      <c r="K149">
        <v>1</v>
      </c>
      <c r="L149" s="3">
        <v>198000</v>
      </c>
      <c r="M149" s="3">
        <v>136500</v>
      </c>
      <c r="N149">
        <v>0.15</v>
      </c>
      <c r="O149" t="s">
        <v>148</v>
      </c>
      <c r="P149" t="s">
        <v>27</v>
      </c>
      <c r="Q149" s="3">
        <f>Table13[[#This Row],[Quantity]]*Table13[[#This Row],[UnitPrice_NGN]]</f>
        <v>198000</v>
      </c>
      <c r="R149" s="9">
        <f>Table13[[#This Row],[GrossRevenue]]*(1-Table13[[#This Row],[DiscountRate]])</f>
        <v>168300</v>
      </c>
      <c r="S149" s="3">
        <f>Table13[[#This Row],[Quantity]]*Table13[[#This Row],[UnitCost_NGN]]</f>
        <v>136500</v>
      </c>
      <c r="T149" s="3">
        <f>Table13[[#This Row],[NetRevenue]]-Table13[[#This Row],[TotalCost]]</f>
        <v>31800</v>
      </c>
      <c r="U149" s="3"/>
    </row>
    <row r="150" spans="1:21" x14ac:dyDescent="0.25">
      <c r="A150" t="s">
        <v>360</v>
      </c>
      <c r="B150" s="20">
        <v>45969</v>
      </c>
      <c r="C150" t="s">
        <v>40</v>
      </c>
      <c r="D150" t="s">
        <v>31</v>
      </c>
      <c r="E150" t="s">
        <v>32</v>
      </c>
      <c r="F150" t="s">
        <v>21</v>
      </c>
      <c r="G150" t="s">
        <v>22</v>
      </c>
      <c r="H150" t="s">
        <v>63</v>
      </c>
      <c r="I150" t="s">
        <v>51</v>
      </c>
      <c r="J150" t="s">
        <v>36</v>
      </c>
      <c r="K150">
        <v>2</v>
      </c>
      <c r="L150" s="3">
        <v>308000</v>
      </c>
      <c r="M150" s="3">
        <v>210000</v>
      </c>
      <c r="N150">
        <v>0.1</v>
      </c>
      <c r="O150" t="s">
        <v>64</v>
      </c>
      <c r="P150" t="s">
        <v>133</v>
      </c>
      <c r="Q150" s="3">
        <f>Table13[[#This Row],[Quantity]]*Table13[[#This Row],[UnitPrice_NGN]]</f>
        <v>616000</v>
      </c>
      <c r="R150" s="9">
        <f>Table13[[#This Row],[GrossRevenue]]*(1-Table13[[#This Row],[DiscountRate]])</f>
        <v>554400</v>
      </c>
      <c r="S150" s="3">
        <f>Table13[[#This Row],[Quantity]]*Table13[[#This Row],[UnitCost_NGN]]</f>
        <v>420000</v>
      </c>
      <c r="T150" s="3">
        <f>Table13[[#This Row],[NetRevenue]]-Table13[[#This Row],[TotalCost]]</f>
        <v>134400</v>
      </c>
      <c r="U150" s="3"/>
    </row>
    <row r="151" spans="1:21" x14ac:dyDescent="0.25">
      <c r="A151" t="s">
        <v>362</v>
      </c>
      <c r="B151" s="20">
        <v>45714</v>
      </c>
      <c r="C151" t="s">
        <v>30</v>
      </c>
      <c r="D151" t="s">
        <v>19</v>
      </c>
      <c r="E151" t="s">
        <v>20</v>
      </c>
      <c r="F151" t="s">
        <v>21</v>
      </c>
      <c r="G151" t="s">
        <v>22</v>
      </c>
      <c r="H151" t="s">
        <v>23</v>
      </c>
      <c r="I151" t="s">
        <v>70</v>
      </c>
      <c r="J151" t="s">
        <v>71</v>
      </c>
      <c r="K151">
        <v>1</v>
      </c>
      <c r="L151" s="3">
        <v>95000</v>
      </c>
      <c r="M151" s="3">
        <v>65100</v>
      </c>
      <c r="N151">
        <v>0</v>
      </c>
      <c r="O151" t="s">
        <v>64</v>
      </c>
      <c r="P151" t="s">
        <v>72</v>
      </c>
      <c r="Q151" s="3">
        <f>Table13[[#This Row],[Quantity]]*Table13[[#This Row],[UnitPrice_NGN]]</f>
        <v>95000</v>
      </c>
      <c r="R151" s="9">
        <f>Table13[[#This Row],[GrossRevenue]]*(1-Table13[[#This Row],[DiscountRate]])</f>
        <v>95000</v>
      </c>
      <c r="S151" s="3">
        <f>Table13[[#This Row],[Quantity]]*Table13[[#This Row],[UnitCost_NGN]]</f>
        <v>65100</v>
      </c>
      <c r="T151" s="3">
        <f>Table13[[#This Row],[NetRevenue]]-Table13[[#This Row],[TotalCost]]</f>
        <v>29900</v>
      </c>
      <c r="U151" s="3"/>
    </row>
    <row r="152" spans="1:21" x14ac:dyDescent="0.25">
      <c r="A152" t="s">
        <v>364</v>
      </c>
      <c r="B152" s="20">
        <v>45950</v>
      </c>
      <c r="C152" t="s">
        <v>18</v>
      </c>
      <c r="D152" t="s">
        <v>157</v>
      </c>
      <c r="E152" t="s">
        <v>158</v>
      </c>
      <c r="F152" t="s">
        <v>21</v>
      </c>
      <c r="G152" t="s">
        <v>22</v>
      </c>
      <c r="H152" t="s">
        <v>23</v>
      </c>
      <c r="I152" t="s">
        <v>102</v>
      </c>
      <c r="J152" t="s">
        <v>25</v>
      </c>
      <c r="K152">
        <v>2</v>
      </c>
      <c r="L152" s="3">
        <v>37800</v>
      </c>
      <c r="M152" s="3">
        <v>26000</v>
      </c>
      <c r="N152">
        <v>0</v>
      </c>
      <c r="O152" t="s">
        <v>47</v>
      </c>
      <c r="P152" t="s">
        <v>72</v>
      </c>
      <c r="Q152" s="3">
        <f>Table13[[#This Row],[Quantity]]*Table13[[#This Row],[UnitPrice_NGN]]</f>
        <v>75600</v>
      </c>
      <c r="R152" s="9">
        <f>Table13[[#This Row],[GrossRevenue]]*(1-Table13[[#This Row],[DiscountRate]])</f>
        <v>75600</v>
      </c>
      <c r="S152" s="3">
        <f>Table13[[#This Row],[Quantity]]*Table13[[#This Row],[UnitCost_NGN]]</f>
        <v>52000</v>
      </c>
      <c r="T152" s="3">
        <f>Table13[[#This Row],[NetRevenue]]-Table13[[#This Row],[TotalCost]]</f>
        <v>23600</v>
      </c>
      <c r="U152" s="3"/>
    </row>
    <row r="153" spans="1:21" x14ac:dyDescent="0.25">
      <c r="A153" t="s">
        <v>366</v>
      </c>
      <c r="B153" s="20">
        <v>45898</v>
      </c>
      <c r="C153" t="s">
        <v>30</v>
      </c>
      <c r="D153" t="s">
        <v>78</v>
      </c>
      <c r="E153" t="s">
        <v>79</v>
      </c>
      <c r="F153" t="s">
        <v>80</v>
      </c>
      <c r="G153" t="s">
        <v>33</v>
      </c>
      <c r="H153" t="s">
        <v>63</v>
      </c>
      <c r="I153" t="s">
        <v>51</v>
      </c>
      <c r="J153" t="s">
        <v>36</v>
      </c>
      <c r="K153">
        <v>4</v>
      </c>
      <c r="L153" s="3">
        <v>308000</v>
      </c>
      <c r="M153" s="3">
        <v>199500</v>
      </c>
      <c r="N153">
        <v>0.05</v>
      </c>
      <c r="O153" t="s">
        <v>57</v>
      </c>
      <c r="P153" t="s">
        <v>48</v>
      </c>
      <c r="Q153" s="3">
        <f>Table13[[#This Row],[Quantity]]*Table13[[#This Row],[UnitPrice_NGN]]</f>
        <v>1232000</v>
      </c>
      <c r="R153" s="9">
        <f>Table13[[#This Row],[GrossRevenue]]*(1-Table13[[#This Row],[DiscountRate]])</f>
        <v>1170400</v>
      </c>
      <c r="S153" s="3">
        <f>Table13[[#This Row],[Quantity]]*Table13[[#This Row],[UnitCost_NGN]]</f>
        <v>798000</v>
      </c>
      <c r="T153" s="3">
        <f>Table13[[#This Row],[NetRevenue]]-Table13[[#This Row],[TotalCost]]</f>
        <v>372400</v>
      </c>
      <c r="U153" s="3"/>
    </row>
    <row r="154" spans="1:21" x14ac:dyDescent="0.25">
      <c r="A154" t="s">
        <v>367</v>
      </c>
      <c r="B154" s="20">
        <v>45994</v>
      </c>
      <c r="C154" t="s">
        <v>18</v>
      </c>
      <c r="D154" t="s">
        <v>31</v>
      </c>
      <c r="E154" t="s">
        <v>32</v>
      </c>
      <c r="F154" t="s">
        <v>21</v>
      </c>
      <c r="G154" t="s">
        <v>62</v>
      </c>
      <c r="H154" t="s">
        <v>34</v>
      </c>
      <c r="I154" t="s">
        <v>102</v>
      </c>
      <c r="J154" t="s">
        <v>25</v>
      </c>
      <c r="K154">
        <v>2</v>
      </c>
      <c r="L154" s="3">
        <v>37800</v>
      </c>
      <c r="M154" s="3">
        <v>26000</v>
      </c>
      <c r="N154">
        <v>0</v>
      </c>
      <c r="O154" t="s">
        <v>148</v>
      </c>
      <c r="P154" t="s">
        <v>27</v>
      </c>
      <c r="Q154" s="3">
        <f>Table13[[#This Row],[Quantity]]*Table13[[#This Row],[UnitPrice_NGN]]</f>
        <v>75600</v>
      </c>
      <c r="R154" s="9">
        <f>Table13[[#This Row],[GrossRevenue]]*(1-Table13[[#This Row],[DiscountRate]])</f>
        <v>75600</v>
      </c>
      <c r="S154" s="3">
        <f>Table13[[#This Row],[Quantity]]*Table13[[#This Row],[UnitCost_NGN]]</f>
        <v>52000</v>
      </c>
      <c r="T154" s="3">
        <f>Table13[[#This Row],[NetRevenue]]-Table13[[#This Row],[TotalCost]]</f>
        <v>23600</v>
      </c>
      <c r="U154" s="3"/>
    </row>
    <row r="155" spans="1:21" x14ac:dyDescent="0.25">
      <c r="A155" t="s">
        <v>369</v>
      </c>
      <c r="B155" s="20">
        <v>45895</v>
      </c>
      <c r="C155" t="s">
        <v>40</v>
      </c>
      <c r="D155" t="s">
        <v>78</v>
      </c>
      <c r="E155" t="s">
        <v>79</v>
      </c>
      <c r="F155" t="s">
        <v>80</v>
      </c>
      <c r="G155" t="s">
        <v>44</v>
      </c>
      <c r="H155" t="s">
        <v>34</v>
      </c>
      <c r="I155" t="s">
        <v>105</v>
      </c>
      <c r="J155" t="s">
        <v>71</v>
      </c>
      <c r="K155">
        <v>2</v>
      </c>
      <c r="L155" s="3">
        <v>183750</v>
      </c>
      <c r="M155" s="3">
        <v>120000</v>
      </c>
      <c r="N155">
        <v>0.15</v>
      </c>
      <c r="O155" t="s">
        <v>52</v>
      </c>
      <c r="P155" t="s">
        <v>27</v>
      </c>
      <c r="Q155" s="3">
        <f>Table13[[#This Row],[Quantity]]*Table13[[#This Row],[UnitPrice_NGN]]</f>
        <v>367500</v>
      </c>
      <c r="R155" s="9">
        <f>Table13[[#This Row],[GrossRevenue]]*(1-Table13[[#This Row],[DiscountRate]])</f>
        <v>312375</v>
      </c>
      <c r="S155" s="3">
        <f>Table13[[#This Row],[Quantity]]*Table13[[#This Row],[UnitCost_NGN]]</f>
        <v>240000</v>
      </c>
      <c r="T155" s="3">
        <f>Table13[[#This Row],[NetRevenue]]-Table13[[#This Row],[TotalCost]]</f>
        <v>72375</v>
      </c>
      <c r="U155" s="3"/>
    </row>
    <row r="156" spans="1:21" x14ac:dyDescent="0.25">
      <c r="A156" t="s">
        <v>371</v>
      </c>
      <c r="B156" s="20">
        <v>45679</v>
      </c>
      <c r="C156" t="s">
        <v>40</v>
      </c>
      <c r="D156" t="s">
        <v>110</v>
      </c>
      <c r="E156" t="s">
        <v>111</v>
      </c>
      <c r="F156" t="s">
        <v>85</v>
      </c>
      <c r="G156" t="s">
        <v>33</v>
      </c>
      <c r="H156" t="s">
        <v>23</v>
      </c>
      <c r="I156" t="s">
        <v>102</v>
      </c>
      <c r="J156" t="s">
        <v>25</v>
      </c>
      <c r="K156">
        <v>1</v>
      </c>
      <c r="L156" s="3">
        <v>39900</v>
      </c>
      <c r="M156" s="3">
        <v>24700</v>
      </c>
      <c r="N156">
        <v>0</v>
      </c>
      <c r="O156" t="s">
        <v>37</v>
      </c>
      <c r="P156" t="s">
        <v>48</v>
      </c>
      <c r="Q156" s="3">
        <f>Table13[[#This Row],[Quantity]]*Table13[[#This Row],[UnitPrice_NGN]]</f>
        <v>39900</v>
      </c>
      <c r="R156" s="9">
        <f>Table13[[#This Row],[GrossRevenue]]*(1-Table13[[#This Row],[DiscountRate]])</f>
        <v>39900</v>
      </c>
      <c r="S156" s="3">
        <f>Table13[[#This Row],[Quantity]]*Table13[[#This Row],[UnitCost_NGN]]</f>
        <v>24700</v>
      </c>
      <c r="T156" s="3">
        <f>Table13[[#This Row],[NetRevenue]]-Table13[[#This Row],[TotalCost]]</f>
        <v>15200</v>
      </c>
      <c r="U156" s="3"/>
    </row>
    <row r="157" spans="1:21" x14ac:dyDescent="0.25">
      <c r="A157" t="s">
        <v>373</v>
      </c>
      <c r="B157" s="20">
        <v>45682</v>
      </c>
      <c r="C157" t="s">
        <v>40</v>
      </c>
      <c r="D157" t="s">
        <v>31</v>
      </c>
      <c r="E157" t="s">
        <v>32</v>
      </c>
      <c r="F157" t="s">
        <v>21</v>
      </c>
      <c r="G157" t="s">
        <v>62</v>
      </c>
      <c r="H157" t="s">
        <v>96</v>
      </c>
      <c r="I157" t="s">
        <v>70</v>
      </c>
      <c r="J157" t="s">
        <v>71</v>
      </c>
      <c r="K157">
        <v>6</v>
      </c>
      <c r="L157" s="3">
        <v>90250</v>
      </c>
      <c r="M157" s="3">
        <v>62000</v>
      </c>
      <c r="N157">
        <v>0</v>
      </c>
      <c r="O157" t="s">
        <v>47</v>
      </c>
      <c r="P157" t="s">
        <v>27</v>
      </c>
      <c r="Q157" s="3">
        <f>Table13[[#This Row],[Quantity]]*Table13[[#This Row],[UnitPrice_NGN]]</f>
        <v>541500</v>
      </c>
      <c r="R157" s="9">
        <f>Table13[[#This Row],[GrossRevenue]]*(1-Table13[[#This Row],[DiscountRate]])</f>
        <v>541500</v>
      </c>
      <c r="S157" s="3">
        <f>Table13[[#This Row],[Quantity]]*Table13[[#This Row],[UnitCost_NGN]]</f>
        <v>372000</v>
      </c>
      <c r="T157" s="3">
        <f>Table13[[#This Row],[NetRevenue]]-Table13[[#This Row],[TotalCost]]</f>
        <v>169500</v>
      </c>
      <c r="U157" s="3"/>
    </row>
    <row r="158" spans="1:21" x14ac:dyDescent="0.25">
      <c r="A158" t="s">
        <v>375</v>
      </c>
      <c r="B158" s="20">
        <v>45912</v>
      </c>
      <c r="C158" t="s">
        <v>40</v>
      </c>
      <c r="D158" t="s">
        <v>83</v>
      </c>
      <c r="E158" t="s">
        <v>84</v>
      </c>
      <c r="F158" t="s">
        <v>85</v>
      </c>
      <c r="G158" t="s">
        <v>62</v>
      </c>
      <c r="H158" t="s">
        <v>23</v>
      </c>
      <c r="I158" t="s">
        <v>55</v>
      </c>
      <c r="J158" t="s">
        <v>56</v>
      </c>
      <c r="K158">
        <v>6</v>
      </c>
      <c r="L158" s="3">
        <v>48000</v>
      </c>
      <c r="M158" s="3">
        <v>30000</v>
      </c>
      <c r="N158">
        <v>0</v>
      </c>
      <c r="O158" t="s">
        <v>57</v>
      </c>
      <c r="P158" t="s">
        <v>27</v>
      </c>
      <c r="Q158" s="3">
        <f>Table13[[#This Row],[Quantity]]*Table13[[#This Row],[UnitPrice_NGN]]</f>
        <v>288000</v>
      </c>
      <c r="R158" s="9">
        <f>Table13[[#This Row],[GrossRevenue]]*(1-Table13[[#This Row],[DiscountRate]])</f>
        <v>288000</v>
      </c>
      <c r="S158" s="3">
        <f>Table13[[#This Row],[Quantity]]*Table13[[#This Row],[UnitCost_NGN]]</f>
        <v>180000</v>
      </c>
      <c r="T158" s="3">
        <f>Table13[[#This Row],[NetRevenue]]-Table13[[#This Row],[TotalCost]]</f>
        <v>108000</v>
      </c>
      <c r="U158" s="3"/>
    </row>
    <row r="159" spans="1:21" x14ac:dyDescent="0.25">
      <c r="A159" t="s">
        <v>377</v>
      </c>
      <c r="B159" s="20">
        <v>45808</v>
      </c>
      <c r="C159" t="s">
        <v>18</v>
      </c>
      <c r="D159" t="s">
        <v>136</v>
      </c>
      <c r="E159" t="s">
        <v>137</v>
      </c>
      <c r="F159" t="s">
        <v>122</v>
      </c>
      <c r="G159" t="s">
        <v>22</v>
      </c>
      <c r="H159" t="s">
        <v>63</v>
      </c>
      <c r="I159" t="s">
        <v>51</v>
      </c>
      <c r="J159" t="s">
        <v>36</v>
      </c>
      <c r="K159">
        <v>3</v>
      </c>
      <c r="L159" s="3">
        <v>280000</v>
      </c>
      <c r="M159" s="3">
        <v>210000</v>
      </c>
      <c r="N159">
        <v>0.1</v>
      </c>
      <c r="O159" t="s">
        <v>57</v>
      </c>
      <c r="P159" t="s">
        <v>48</v>
      </c>
      <c r="Q159" s="3">
        <f>Table13[[#This Row],[Quantity]]*Table13[[#This Row],[UnitPrice_NGN]]</f>
        <v>840000</v>
      </c>
      <c r="R159" s="9">
        <f>Table13[[#This Row],[GrossRevenue]]*(1-Table13[[#This Row],[DiscountRate]])</f>
        <v>756000</v>
      </c>
      <c r="S159" s="3">
        <f>Table13[[#This Row],[Quantity]]*Table13[[#This Row],[UnitCost_NGN]]</f>
        <v>630000</v>
      </c>
      <c r="T159" s="3">
        <f>Table13[[#This Row],[NetRevenue]]-Table13[[#This Row],[TotalCost]]</f>
        <v>126000</v>
      </c>
      <c r="U159" s="3"/>
    </row>
    <row r="160" spans="1:21" x14ac:dyDescent="0.25">
      <c r="A160" t="s">
        <v>379</v>
      </c>
      <c r="B160" s="20">
        <v>45885</v>
      </c>
      <c r="C160" t="s">
        <v>40</v>
      </c>
      <c r="D160" t="s">
        <v>110</v>
      </c>
      <c r="E160" t="s">
        <v>111</v>
      </c>
      <c r="F160" t="s">
        <v>85</v>
      </c>
      <c r="G160" t="s">
        <v>22</v>
      </c>
      <c r="H160" t="s">
        <v>63</v>
      </c>
      <c r="I160" t="s">
        <v>70</v>
      </c>
      <c r="J160" t="s">
        <v>71</v>
      </c>
      <c r="K160">
        <v>4</v>
      </c>
      <c r="L160" s="3">
        <v>95000</v>
      </c>
      <c r="M160" s="3">
        <v>62000</v>
      </c>
      <c r="N160">
        <v>0.15</v>
      </c>
      <c r="O160" t="s">
        <v>26</v>
      </c>
      <c r="P160" t="s">
        <v>48</v>
      </c>
      <c r="Q160" s="3">
        <f>Table13[[#This Row],[Quantity]]*Table13[[#This Row],[UnitPrice_NGN]]</f>
        <v>380000</v>
      </c>
      <c r="R160" s="9">
        <f>Table13[[#This Row],[GrossRevenue]]*(1-Table13[[#This Row],[DiscountRate]])</f>
        <v>323000</v>
      </c>
      <c r="S160" s="3">
        <f>Table13[[#This Row],[Quantity]]*Table13[[#This Row],[UnitCost_NGN]]</f>
        <v>248000</v>
      </c>
      <c r="T160" s="3">
        <f>Table13[[#This Row],[NetRevenue]]-Table13[[#This Row],[TotalCost]]</f>
        <v>75000</v>
      </c>
      <c r="U160" s="3"/>
    </row>
    <row r="161" spans="1:21" x14ac:dyDescent="0.25">
      <c r="A161" t="s">
        <v>381</v>
      </c>
      <c r="B161" s="20">
        <v>45984</v>
      </c>
      <c r="C161" t="s">
        <v>40</v>
      </c>
      <c r="D161" t="s">
        <v>120</v>
      </c>
      <c r="E161" t="s">
        <v>121</v>
      </c>
      <c r="F161" t="s">
        <v>122</v>
      </c>
      <c r="G161" t="s">
        <v>44</v>
      </c>
      <c r="H161" t="s">
        <v>96</v>
      </c>
      <c r="I161" t="s">
        <v>70</v>
      </c>
      <c r="J161" t="s">
        <v>71</v>
      </c>
      <c r="K161">
        <v>15</v>
      </c>
      <c r="L161" s="3">
        <v>85500</v>
      </c>
      <c r="M161" s="3">
        <v>58900</v>
      </c>
      <c r="N161">
        <v>0.15</v>
      </c>
      <c r="O161" t="s">
        <v>90</v>
      </c>
      <c r="P161" t="s">
        <v>72</v>
      </c>
      <c r="Q161" s="3">
        <f>Table13[[#This Row],[Quantity]]*Table13[[#This Row],[UnitPrice_NGN]]</f>
        <v>1282500</v>
      </c>
      <c r="R161" s="9">
        <f>Table13[[#This Row],[GrossRevenue]]*(1-Table13[[#This Row],[DiscountRate]])</f>
        <v>1090125</v>
      </c>
      <c r="S161" s="3">
        <f>Table13[[#This Row],[Quantity]]*Table13[[#This Row],[UnitCost_NGN]]</f>
        <v>883500</v>
      </c>
      <c r="T161" s="3">
        <f>Table13[[#This Row],[NetRevenue]]-Table13[[#This Row],[TotalCost]]</f>
        <v>206625</v>
      </c>
      <c r="U161" s="3"/>
    </row>
    <row r="162" spans="1:21" x14ac:dyDescent="0.25">
      <c r="A162" t="s">
        <v>382</v>
      </c>
      <c r="B162" s="20">
        <v>45778</v>
      </c>
      <c r="C162" t="s">
        <v>40</v>
      </c>
      <c r="D162" t="s">
        <v>120</v>
      </c>
      <c r="E162" t="s">
        <v>121</v>
      </c>
      <c r="F162" t="s">
        <v>122</v>
      </c>
      <c r="G162" t="s">
        <v>62</v>
      </c>
      <c r="H162" t="s">
        <v>112</v>
      </c>
      <c r="I162" t="s">
        <v>45</v>
      </c>
      <c r="J162" t="s">
        <v>46</v>
      </c>
      <c r="K162">
        <v>6</v>
      </c>
      <c r="L162" s="3">
        <v>16650</v>
      </c>
      <c r="M162" s="3">
        <v>14500</v>
      </c>
      <c r="N162">
        <v>0</v>
      </c>
      <c r="O162" t="s">
        <v>148</v>
      </c>
      <c r="P162" t="s">
        <v>27</v>
      </c>
      <c r="Q162" s="3">
        <f>Table13[[#This Row],[Quantity]]*Table13[[#This Row],[UnitPrice_NGN]]</f>
        <v>99900</v>
      </c>
      <c r="R162" s="9">
        <f>Table13[[#This Row],[GrossRevenue]]*(1-Table13[[#This Row],[DiscountRate]])</f>
        <v>99900</v>
      </c>
      <c r="S162" s="3">
        <f>Table13[[#This Row],[Quantity]]*Table13[[#This Row],[UnitCost_NGN]]</f>
        <v>87000</v>
      </c>
      <c r="T162" s="3">
        <f>Table13[[#This Row],[NetRevenue]]-Table13[[#This Row],[TotalCost]]</f>
        <v>12900</v>
      </c>
      <c r="U162" s="3"/>
    </row>
    <row r="163" spans="1:21" x14ac:dyDescent="0.25">
      <c r="A163" t="s">
        <v>383</v>
      </c>
      <c r="B163" s="20">
        <v>45697</v>
      </c>
      <c r="C163" t="s">
        <v>18</v>
      </c>
      <c r="D163" t="s">
        <v>157</v>
      </c>
      <c r="E163" t="s">
        <v>158</v>
      </c>
      <c r="F163" t="s">
        <v>21</v>
      </c>
      <c r="G163" t="s">
        <v>62</v>
      </c>
      <c r="H163" t="s">
        <v>112</v>
      </c>
      <c r="I163" t="s">
        <v>45</v>
      </c>
      <c r="J163" t="s">
        <v>46</v>
      </c>
      <c r="K163">
        <v>5</v>
      </c>
      <c r="L163" s="3">
        <v>18500</v>
      </c>
      <c r="M163" s="3">
        <v>14500</v>
      </c>
      <c r="N163">
        <v>0.05</v>
      </c>
      <c r="O163" t="s">
        <v>47</v>
      </c>
      <c r="P163" t="s">
        <v>133</v>
      </c>
      <c r="Q163" s="3">
        <f>Table13[[#This Row],[Quantity]]*Table13[[#This Row],[UnitPrice_NGN]]</f>
        <v>92500</v>
      </c>
      <c r="R163" s="9">
        <f>Table13[[#This Row],[GrossRevenue]]*(1-Table13[[#This Row],[DiscountRate]])</f>
        <v>87875</v>
      </c>
      <c r="S163" s="3">
        <f>Table13[[#This Row],[Quantity]]*Table13[[#This Row],[UnitCost_NGN]]</f>
        <v>72500</v>
      </c>
      <c r="T163" s="3">
        <f>Table13[[#This Row],[NetRevenue]]-Table13[[#This Row],[TotalCost]]</f>
        <v>15375</v>
      </c>
      <c r="U163" s="3"/>
    </row>
    <row r="164" spans="1:21" x14ac:dyDescent="0.25">
      <c r="A164" t="s">
        <v>384</v>
      </c>
      <c r="B164" s="20">
        <v>45753</v>
      </c>
      <c r="C164" t="s">
        <v>30</v>
      </c>
      <c r="D164" t="s">
        <v>41</v>
      </c>
      <c r="E164" t="s">
        <v>42</v>
      </c>
      <c r="F164" t="s">
        <v>43</v>
      </c>
      <c r="G164" t="s">
        <v>33</v>
      </c>
      <c r="H164" t="s">
        <v>23</v>
      </c>
      <c r="I164" t="s">
        <v>24</v>
      </c>
      <c r="J164" t="s">
        <v>25</v>
      </c>
      <c r="K164">
        <v>2</v>
      </c>
      <c r="L164" s="3">
        <v>19800</v>
      </c>
      <c r="M164" s="3">
        <v>12350</v>
      </c>
      <c r="N164">
        <v>0.15</v>
      </c>
      <c r="O164" t="s">
        <v>52</v>
      </c>
      <c r="P164" t="s">
        <v>72</v>
      </c>
      <c r="Q164" s="3">
        <f>Table13[[#This Row],[Quantity]]*Table13[[#This Row],[UnitPrice_NGN]]</f>
        <v>39600</v>
      </c>
      <c r="R164" s="9">
        <f>Table13[[#This Row],[GrossRevenue]]*(1-Table13[[#This Row],[DiscountRate]])</f>
        <v>33660</v>
      </c>
      <c r="S164" s="3">
        <f>Table13[[#This Row],[Quantity]]*Table13[[#This Row],[UnitCost_NGN]]</f>
        <v>24700</v>
      </c>
      <c r="T164" s="3">
        <f>Table13[[#This Row],[NetRevenue]]-Table13[[#This Row],[TotalCost]]</f>
        <v>8960</v>
      </c>
      <c r="U164" s="3"/>
    </row>
    <row r="165" spans="1:21" x14ac:dyDescent="0.25">
      <c r="A165" t="s">
        <v>386</v>
      </c>
      <c r="B165" s="20">
        <v>45909</v>
      </c>
      <c r="C165" t="s">
        <v>18</v>
      </c>
      <c r="D165" t="s">
        <v>41</v>
      </c>
      <c r="E165" t="s">
        <v>42</v>
      </c>
      <c r="F165" t="s">
        <v>43</v>
      </c>
      <c r="G165" t="s">
        <v>44</v>
      </c>
      <c r="H165" t="s">
        <v>96</v>
      </c>
      <c r="I165" t="s">
        <v>70</v>
      </c>
      <c r="J165" t="s">
        <v>71</v>
      </c>
      <c r="K165">
        <v>5</v>
      </c>
      <c r="L165" s="3">
        <v>90250</v>
      </c>
      <c r="M165" s="3">
        <v>62000</v>
      </c>
      <c r="N165">
        <v>0.15</v>
      </c>
      <c r="O165" t="s">
        <v>37</v>
      </c>
      <c r="P165" t="s">
        <v>48</v>
      </c>
      <c r="Q165" s="3">
        <f>Table13[[#This Row],[Quantity]]*Table13[[#This Row],[UnitPrice_NGN]]</f>
        <v>451250</v>
      </c>
      <c r="R165" s="9">
        <f>Table13[[#This Row],[GrossRevenue]]*(1-Table13[[#This Row],[DiscountRate]])</f>
        <v>383562.5</v>
      </c>
      <c r="S165" s="3">
        <f>Table13[[#This Row],[Quantity]]*Table13[[#This Row],[UnitCost_NGN]]</f>
        <v>310000</v>
      </c>
      <c r="T165" s="3">
        <f>Table13[[#This Row],[NetRevenue]]-Table13[[#This Row],[TotalCost]]</f>
        <v>73562.5</v>
      </c>
      <c r="U165" s="3"/>
    </row>
    <row r="166" spans="1:21" x14ac:dyDescent="0.25">
      <c r="A166" t="s">
        <v>388</v>
      </c>
      <c r="B166" s="20">
        <v>45835</v>
      </c>
      <c r="C166" t="s">
        <v>18</v>
      </c>
      <c r="D166" t="s">
        <v>136</v>
      </c>
      <c r="E166" t="s">
        <v>137</v>
      </c>
      <c r="F166" t="s">
        <v>122</v>
      </c>
      <c r="G166" t="s">
        <v>62</v>
      </c>
      <c r="H166" t="s">
        <v>63</v>
      </c>
      <c r="I166" t="s">
        <v>75</v>
      </c>
      <c r="J166" t="s">
        <v>36</v>
      </c>
      <c r="K166">
        <v>3</v>
      </c>
      <c r="L166" s="3">
        <v>162000</v>
      </c>
      <c r="M166" s="3">
        <v>130000</v>
      </c>
      <c r="N166">
        <v>0.15</v>
      </c>
      <c r="O166" t="s">
        <v>90</v>
      </c>
      <c r="P166" t="s">
        <v>27</v>
      </c>
      <c r="Q166" s="3">
        <f>Table13[[#This Row],[Quantity]]*Table13[[#This Row],[UnitPrice_NGN]]</f>
        <v>486000</v>
      </c>
      <c r="R166" s="9">
        <f>Table13[[#This Row],[GrossRevenue]]*(1-Table13[[#This Row],[DiscountRate]])</f>
        <v>413100</v>
      </c>
      <c r="S166" s="3">
        <f>Table13[[#This Row],[Quantity]]*Table13[[#This Row],[UnitCost_NGN]]</f>
        <v>390000</v>
      </c>
      <c r="T166" s="3">
        <f>Table13[[#This Row],[NetRevenue]]-Table13[[#This Row],[TotalCost]]</f>
        <v>23100</v>
      </c>
      <c r="U166" s="3"/>
    </row>
    <row r="167" spans="1:21" x14ac:dyDescent="0.25">
      <c r="A167" t="s">
        <v>390</v>
      </c>
      <c r="B167" s="20">
        <v>45918</v>
      </c>
      <c r="C167" t="s">
        <v>18</v>
      </c>
      <c r="D167" t="s">
        <v>136</v>
      </c>
      <c r="E167" t="s">
        <v>137</v>
      </c>
      <c r="F167" t="s">
        <v>122</v>
      </c>
      <c r="G167" t="s">
        <v>44</v>
      </c>
      <c r="H167" t="s">
        <v>34</v>
      </c>
      <c r="I167" t="s">
        <v>102</v>
      </c>
      <c r="J167" t="s">
        <v>25</v>
      </c>
      <c r="K167">
        <v>10</v>
      </c>
      <c r="L167" s="3">
        <v>44100</v>
      </c>
      <c r="M167" s="3">
        <v>26000</v>
      </c>
      <c r="N167">
        <v>0</v>
      </c>
      <c r="O167" t="s">
        <v>64</v>
      </c>
      <c r="P167" t="s">
        <v>48</v>
      </c>
      <c r="Q167" s="3">
        <f>Table13[[#This Row],[Quantity]]*Table13[[#This Row],[UnitPrice_NGN]]</f>
        <v>441000</v>
      </c>
      <c r="R167" s="9">
        <f>Table13[[#This Row],[GrossRevenue]]*(1-Table13[[#This Row],[DiscountRate]])</f>
        <v>441000</v>
      </c>
      <c r="S167" s="3">
        <f>Table13[[#This Row],[Quantity]]*Table13[[#This Row],[UnitCost_NGN]]</f>
        <v>260000</v>
      </c>
      <c r="T167" s="3">
        <f>Table13[[#This Row],[NetRevenue]]-Table13[[#This Row],[TotalCost]]</f>
        <v>181000</v>
      </c>
      <c r="U167" s="3"/>
    </row>
    <row r="168" spans="1:21" x14ac:dyDescent="0.25">
      <c r="A168" t="s">
        <v>392</v>
      </c>
      <c r="B168" s="20">
        <v>45940</v>
      </c>
      <c r="C168" t="s">
        <v>30</v>
      </c>
      <c r="D168" t="s">
        <v>31</v>
      </c>
      <c r="E168" t="s">
        <v>32</v>
      </c>
      <c r="F168" t="s">
        <v>21</v>
      </c>
      <c r="G168" t="s">
        <v>22</v>
      </c>
      <c r="H168" t="s">
        <v>96</v>
      </c>
      <c r="I168" t="s">
        <v>97</v>
      </c>
      <c r="J168" t="s">
        <v>56</v>
      </c>
      <c r="K168">
        <v>3</v>
      </c>
      <c r="L168" s="3">
        <v>125000</v>
      </c>
      <c r="M168" s="3">
        <v>85000</v>
      </c>
      <c r="N168">
        <v>0.05</v>
      </c>
      <c r="O168" t="s">
        <v>57</v>
      </c>
      <c r="P168" t="s">
        <v>48</v>
      </c>
      <c r="Q168" s="3">
        <f>Table13[[#This Row],[Quantity]]*Table13[[#This Row],[UnitPrice_NGN]]</f>
        <v>375000</v>
      </c>
      <c r="R168" s="9">
        <f>Table13[[#This Row],[GrossRevenue]]*(1-Table13[[#This Row],[DiscountRate]])</f>
        <v>356250</v>
      </c>
      <c r="S168" s="3">
        <f>Table13[[#This Row],[Quantity]]*Table13[[#This Row],[UnitCost_NGN]]</f>
        <v>255000</v>
      </c>
      <c r="T168" s="3">
        <f>Table13[[#This Row],[NetRevenue]]-Table13[[#This Row],[TotalCost]]</f>
        <v>101250</v>
      </c>
      <c r="U168" s="3"/>
    </row>
    <row r="169" spans="1:21" x14ac:dyDescent="0.25">
      <c r="A169" t="s">
        <v>394</v>
      </c>
      <c r="B169" s="20">
        <v>45952</v>
      </c>
      <c r="C169" t="s">
        <v>18</v>
      </c>
      <c r="D169" t="s">
        <v>136</v>
      </c>
      <c r="E169" t="s">
        <v>137</v>
      </c>
      <c r="F169" t="s">
        <v>122</v>
      </c>
      <c r="G169" t="s">
        <v>62</v>
      </c>
      <c r="H169" t="s">
        <v>96</v>
      </c>
      <c r="I169" t="s">
        <v>55</v>
      </c>
      <c r="J169" t="s">
        <v>56</v>
      </c>
      <c r="K169">
        <v>5</v>
      </c>
      <c r="L169" s="3">
        <v>48000</v>
      </c>
      <c r="M169" s="3">
        <v>31500</v>
      </c>
      <c r="N169">
        <v>0.05</v>
      </c>
      <c r="O169" t="s">
        <v>37</v>
      </c>
      <c r="P169" t="s">
        <v>48</v>
      </c>
      <c r="Q169" s="3">
        <f>Table13[[#This Row],[Quantity]]*Table13[[#This Row],[UnitPrice_NGN]]</f>
        <v>240000</v>
      </c>
      <c r="R169" s="9">
        <f>Table13[[#This Row],[GrossRevenue]]*(1-Table13[[#This Row],[DiscountRate]])</f>
        <v>228000</v>
      </c>
      <c r="S169" s="3">
        <f>Table13[[#This Row],[Quantity]]*Table13[[#This Row],[UnitCost_NGN]]</f>
        <v>157500</v>
      </c>
      <c r="T169" s="3">
        <f>Table13[[#This Row],[NetRevenue]]-Table13[[#This Row],[TotalCost]]</f>
        <v>70500</v>
      </c>
      <c r="U169" s="3"/>
    </row>
    <row r="170" spans="1:21" x14ac:dyDescent="0.25">
      <c r="A170" t="s">
        <v>396</v>
      </c>
      <c r="B170" s="20">
        <v>45879</v>
      </c>
      <c r="C170" t="s">
        <v>18</v>
      </c>
      <c r="D170" t="s">
        <v>120</v>
      </c>
      <c r="E170" t="s">
        <v>121</v>
      </c>
      <c r="F170" t="s">
        <v>122</v>
      </c>
      <c r="G170" t="s">
        <v>22</v>
      </c>
      <c r="H170" t="s">
        <v>23</v>
      </c>
      <c r="I170" t="s">
        <v>97</v>
      </c>
      <c r="J170" t="s">
        <v>56</v>
      </c>
      <c r="K170">
        <v>3</v>
      </c>
      <c r="L170" s="3">
        <v>118750</v>
      </c>
      <c r="M170" s="3">
        <v>85000</v>
      </c>
      <c r="N170">
        <v>0</v>
      </c>
      <c r="O170" t="s">
        <v>90</v>
      </c>
      <c r="P170" t="s">
        <v>133</v>
      </c>
      <c r="Q170" s="3">
        <f>Table13[[#This Row],[Quantity]]*Table13[[#This Row],[UnitPrice_NGN]]</f>
        <v>356250</v>
      </c>
      <c r="R170" s="9">
        <f>Table13[[#This Row],[GrossRevenue]]*(1-Table13[[#This Row],[DiscountRate]])</f>
        <v>356250</v>
      </c>
      <c r="S170" s="3">
        <f>Table13[[#This Row],[Quantity]]*Table13[[#This Row],[UnitCost_NGN]]</f>
        <v>255000</v>
      </c>
      <c r="T170" s="3">
        <f>Table13[[#This Row],[NetRevenue]]-Table13[[#This Row],[TotalCost]]</f>
        <v>101250</v>
      </c>
      <c r="U170" s="3"/>
    </row>
    <row r="171" spans="1:21" x14ac:dyDescent="0.25">
      <c r="A171" t="s">
        <v>398</v>
      </c>
      <c r="B171" s="20">
        <v>45923</v>
      </c>
      <c r="C171" t="s">
        <v>18</v>
      </c>
      <c r="D171" t="s">
        <v>157</v>
      </c>
      <c r="E171" t="s">
        <v>158</v>
      </c>
      <c r="F171" t="s">
        <v>21</v>
      </c>
      <c r="G171" t="s">
        <v>62</v>
      </c>
      <c r="H171" t="s">
        <v>34</v>
      </c>
      <c r="I171" t="s">
        <v>70</v>
      </c>
      <c r="J171" t="s">
        <v>71</v>
      </c>
      <c r="K171">
        <v>1</v>
      </c>
      <c r="L171" s="3">
        <v>99750</v>
      </c>
      <c r="M171" s="3">
        <v>62000</v>
      </c>
      <c r="N171">
        <v>0</v>
      </c>
      <c r="O171" t="s">
        <v>57</v>
      </c>
      <c r="P171" t="s">
        <v>48</v>
      </c>
      <c r="Q171" s="3">
        <f>Table13[[#This Row],[Quantity]]*Table13[[#This Row],[UnitPrice_NGN]]</f>
        <v>99750</v>
      </c>
      <c r="R171" s="9">
        <f>Table13[[#This Row],[GrossRevenue]]*(1-Table13[[#This Row],[DiscountRate]])</f>
        <v>99750</v>
      </c>
      <c r="S171" s="3">
        <f>Table13[[#This Row],[Quantity]]*Table13[[#This Row],[UnitCost_NGN]]</f>
        <v>62000</v>
      </c>
      <c r="T171" s="3">
        <f>Table13[[#This Row],[NetRevenue]]-Table13[[#This Row],[TotalCost]]</f>
        <v>37750</v>
      </c>
      <c r="U171" s="3"/>
    </row>
    <row r="172" spans="1:21" x14ac:dyDescent="0.25">
      <c r="A172" t="s">
        <v>400</v>
      </c>
      <c r="B172" s="20">
        <v>45986</v>
      </c>
      <c r="C172" t="s">
        <v>30</v>
      </c>
      <c r="D172" t="s">
        <v>120</v>
      </c>
      <c r="E172" t="s">
        <v>121</v>
      </c>
      <c r="F172" t="s">
        <v>122</v>
      </c>
      <c r="G172" t="s">
        <v>44</v>
      </c>
      <c r="H172" t="s">
        <v>34</v>
      </c>
      <c r="I172" t="s">
        <v>75</v>
      </c>
      <c r="J172" t="s">
        <v>36</v>
      </c>
      <c r="K172">
        <v>2</v>
      </c>
      <c r="L172" s="3">
        <v>180000</v>
      </c>
      <c r="M172" s="3">
        <v>123500</v>
      </c>
      <c r="N172">
        <v>0.1</v>
      </c>
      <c r="O172" t="s">
        <v>47</v>
      </c>
      <c r="P172" t="s">
        <v>48</v>
      </c>
      <c r="Q172" s="3">
        <f>Table13[[#This Row],[Quantity]]*Table13[[#This Row],[UnitPrice_NGN]]</f>
        <v>360000</v>
      </c>
      <c r="R172" s="9">
        <f>Table13[[#This Row],[GrossRevenue]]*(1-Table13[[#This Row],[DiscountRate]])</f>
        <v>324000</v>
      </c>
      <c r="S172" s="3">
        <f>Table13[[#This Row],[Quantity]]*Table13[[#This Row],[UnitCost_NGN]]</f>
        <v>247000</v>
      </c>
      <c r="T172" s="3">
        <f>Table13[[#This Row],[NetRevenue]]-Table13[[#This Row],[TotalCost]]</f>
        <v>77000</v>
      </c>
      <c r="U172" s="3"/>
    </row>
    <row r="173" spans="1:21" x14ac:dyDescent="0.25">
      <c r="A173" t="s">
        <v>402</v>
      </c>
      <c r="B173" s="20">
        <v>45986</v>
      </c>
      <c r="C173" t="s">
        <v>40</v>
      </c>
      <c r="D173" t="s">
        <v>31</v>
      </c>
      <c r="E173" t="s">
        <v>32</v>
      </c>
      <c r="F173" t="s">
        <v>21</v>
      </c>
      <c r="G173" t="s">
        <v>44</v>
      </c>
      <c r="H173" t="s">
        <v>23</v>
      </c>
      <c r="I173" t="s">
        <v>45</v>
      </c>
      <c r="J173" t="s">
        <v>46</v>
      </c>
      <c r="K173">
        <v>8</v>
      </c>
      <c r="L173" s="3">
        <v>16650</v>
      </c>
      <c r="M173" s="3">
        <v>13775</v>
      </c>
      <c r="N173">
        <v>0</v>
      </c>
      <c r="O173" t="s">
        <v>26</v>
      </c>
      <c r="P173" t="s">
        <v>133</v>
      </c>
      <c r="Q173" s="3">
        <f>Table13[[#This Row],[Quantity]]*Table13[[#This Row],[UnitPrice_NGN]]</f>
        <v>133200</v>
      </c>
      <c r="R173" s="9">
        <f>Table13[[#This Row],[GrossRevenue]]*(1-Table13[[#This Row],[DiscountRate]])</f>
        <v>133200</v>
      </c>
      <c r="S173" s="3">
        <f>Table13[[#This Row],[Quantity]]*Table13[[#This Row],[UnitCost_NGN]]</f>
        <v>110200</v>
      </c>
      <c r="T173" s="3">
        <f>Table13[[#This Row],[NetRevenue]]-Table13[[#This Row],[TotalCost]]</f>
        <v>23000</v>
      </c>
      <c r="U173" s="3"/>
    </row>
    <row r="174" spans="1:21" x14ac:dyDescent="0.25">
      <c r="A174" t="s">
        <v>403</v>
      </c>
      <c r="B174" s="20">
        <v>45812</v>
      </c>
      <c r="C174" t="s">
        <v>18</v>
      </c>
      <c r="D174" t="s">
        <v>120</v>
      </c>
      <c r="E174" t="s">
        <v>121</v>
      </c>
      <c r="F174" t="s">
        <v>122</v>
      </c>
      <c r="G174" t="s">
        <v>33</v>
      </c>
      <c r="H174" t="s">
        <v>63</v>
      </c>
      <c r="I174" t="s">
        <v>45</v>
      </c>
      <c r="J174" t="s">
        <v>46</v>
      </c>
      <c r="K174">
        <v>1</v>
      </c>
      <c r="L174" s="3">
        <v>19425</v>
      </c>
      <c r="M174" s="3">
        <v>14500</v>
      </c>
      <c r="N174">
        <v>0.15</v>
      </c>
      <c r="O174" t="s">
        <v>37</v>
      </c>
      <c r="P174" t="s">
        <v>72</v>
      </c>
      <c r="Q174" s="3">
        <f>Table13[[#This Row],[Quantity]]*Table13[[#This Row],[UnitPrice_NGN]]</f>
        <v>19425</v>
      </c>
      <c r="R174" s="9">
        <f>Table13[[#This Row],[GrossRevenue]]*(1-Table13[[#This Row],[DiscountRate]])</f>
        <v>16511.25</v>
      </c>
      <c r="S174" s="3">
        <f>Table13[[#This Row],[Quantity]]*Table13[[#This Row],[UnitCost_NGN]]</f>
        <v>14500</v>
      </c>
      <c r="T174" s="3">
        <f>Table13[[#This Row],[NetRevenue]]-Table13[[#This Row],[TotalCost]]</f>
        <v>2011.25</v>
      </c>
      <c r="U174" s="3"/>
    </row>
    <row r="175" spans="1:21" x14ac:dyDescent="0.25">
      <c r="A175" t="s">
        <v>404</v>
      </c>
      <c r="B175" s="20">
        <v>45895</v>
      </c>
      <c r="C175" t="s">
        <v>40</v>
      </c>
      <c r="D175" t="s">
        <v>136</v>
      </c>
      <c r="E175" t="s">
        <v>137</v>
      </c>
      <c r="F175" t="s">
        <v>122</v>
      </c>
      <c r="G175" t="s">
        <v>44</v>
      </c>
      <c r="H175" t="s">
        <v>63</v>
      </c>
      <c r="I175" t="s">
        <v>51</v>
      </c>
      <c r="J175" t="s">
        <v>36</v>
      </c>
      <c r="K175">
        <v>1</v>
      </c>
      <c r="L175" s="3">
        <v>280000</v>
      </c>
      <c r="M175" s="3">
        <v>220500</v>
      </c>
      <c r="N175">
        <v>0.05</v>
      </c>
      <c r="O175" t="s">
        <v>47</v>
      </c>
      <c r="P175" t="s">
        <v>48</v>
      </c>
      <c r="Q175" s="3">
        <f>Table13[[#This Row],[Quantity]]*Table13[[#This Row],[UnitPrice_NGN]]</f>
        <v>280000</v>
      </c>
      <c r="R175" s="9">
        <f>Table13[[#This Row],[GrossRevenue]]*(1-Table13[[#This Row],[DiscountRate]])</f>
        <v>266000</v>
      </c>
      <c r="S175" s="3">
        <f>Table13[[#This Row],[Quantity]]*Table13[[#This Row],[UnitCost_NGN]]</f>
        <v>220500</v>
      </c>
      <c r="T175" s="3">
        <f>Table13[[#This Row],[NetRevenue]]-Table13[[#This Row],[TotalCost]]</f>
        <v>45500</v>
      </c>
      <c r="U175" s="3"/>
    </row>
    <row r="176" spans="1:21" x14ac:dyDescent="0.25">
      <c r="A176" t="s">
        <v>405</v>
      </c>
      <c r="B176" s="20">
        <v>45945</v>
      </c>
      <c r="C176" t="s">
        <v>40</v>
      </c>
      <c r="D176" t="s">
        <v>88</v>
      </c>
      <c r="E176" t="s">
        <v>89</v>
      </c>
      <c r="F176" t="s">
        <v>43</v>
      </c>
      <c r="G176" t="s">
        <v>44</v>
      </c>
      <c r="H176" t="s">
        <v>112</v>
      </c>
      <c r="I176" t="s">
        <v>102</v>
      </c>
      <c r="J176" t="s">
        <v>25</v>
      </c>
      <c r="K176">
        <v>15</v>
      </c>
      <c r="L176" s="3">
        <v>39900</v>
      </c>
      <c r="M176" s="3">
        <v>26000</v>
      </c>
      <c r="N176">
        <v>0.1</v>
      </c>
      <c r="O176" t="s">
        <v>52</v>
      </c>
      <c r="P176" t="s">
        <v>48</v>
      </c>
      <c r="Q176" s="3">
        <f>Table13[[#This Row],[Quantity]]*Table13[[#This Row],[UnitPrice_NGN]]</f>
        <v>598500</v>
      </c>
      <c r="R176" s="9">
        <f>Table13[[#This Row],[GrossRevenue]]*(1-Table13[[#This Row],[DiscountRate]])</f>
        <v>538650</v>
      </c>
      <c r="S176" s="3">
        <f>Table13[[#This Row],[Quantity]]*Table13[[#This Row],[UnitCost_NGN]]</f>
        <v>390000</v>
      </c>
      <c r="T176" s="3">
        <f>Table13[[#This Row],[NetRevenue]]-Table13[[#This Row],[TotalCost]]</f>
        <v>148650</v>
      </c>
      <c r="U176" s="3"/>
    </row>
    <row r="177" spans="1:21" x14ac:dyDescent="0.25">
      <c r="A177" t="s">
        <v>407</v>
      </c>
      <c r="B177" s="20">
        <v>45854</v>
      </c>
      <c r="C177" t="s">
        <v>40</v>
      </c>
      <c r="D177" t="s">
        <v>110</v>
      </c>
      <c r="E177" t="s">
        <v>111</v>
      </c>
      <c r="F177" t="s">
        <v>85</v>
      </c>
      <c r="G177" t="s">
        <v>44</v>
      </c>
      <c r="H177" t="s">
        <v>34</v>
      </c>
      <c r="I177" t="s">
        <v>70</v>
      </c>
      <c r="J177" t="s">
        <v>71</v>
      </c>
      <c r="K177">
        <v>2</v>
      </c>
      <c r="L177" s="3">
        <v>85500</v>
      </c>
      <c r="M177" s="3">
        <v>58900</v>
      </c>
      <c r="N177">
        <v>0</v>
      </c>
      <c r="O177" t="s">
        <v>47</v>
      </c>
      <c r="P177" t="s">
        <v>133</v>
      </c>
      <c r="Q177" s="3">
        <f>Table13[[#This Row],[Quantity]]*Table13[[#This Row],[UnitPrice_NGN]]</f>
        <v>171000</v>
      </c>
      <c r="R177" s="9">
        <f>Table13[[#This Row],[GrossRevenue]]*(1-Table13[[#This Row],[DiscountRate]])</f>
        <v>171000</v>
      </c>
      <c r="S177" s="3">
        <f>Table13[[#This Row],[Quantity]]*Table13[[#This Row],[UnitCost_NGN]]</f>
        <v>117800</v>
      </c>
      <c r="T177" s="3">
        <f>Table13[[#This Row],[NetRevenue]]-Table13[[#This Row],[TotalCost]]</f>
        <v>53200</v>
      </c>
      <c r="U177" s="3"/>
    </row>
    <row r="178" spans="1:21" x14ac:dyDescent="0.25">
      <c r="A178" t="s">
        <v>409</v>
      </c>
      <c r="B178" s="20">
        <v>45921</v>
      </c>
      <c r="C178" t="s">
        <v>40</v>
      </c>
      <c r="D178" t="s">
        <v>136</v>
      </c>
      <c r="E178" t="s">
        <v>137</v>
      </c>
      <c r="F178" t="s">
        <v>122</v>
      </c>
      <c r="G178" t="s">
        <v>62</v>
      </c>
      <c r="I178" t="s">
        <v>45</v>
      </c>
      <c r="J178" t="s">
        <v>46</v>
      </c>
      <c r="K178">
        <v>2</v>
      </c>
      <c r="L178" s="3">
        <v>20350</v>
      </c>
      <c r="M178" s="3">
        <v>14500</v>
      </c>
      <c r="N178">
        <v>0.05</v>
      </c>
      <c r="O178" t="s">
        <v>148</v>
      </c>
      <c r="P178" t="s">
        <v>72</v>
      </c>
      <c r="Q178" s="3">
        <f>Table13[[#This Row],[Quantity]]*Table13[[#This Row],[UnitPrice_NGN]]</f>
        <v>40700</v>
      </c>
      <c r="R178" s="9">
        <f>Table13[[#This Row],[GrossRevenue]]*(1-Table13[[#This Row],[DiscountRate]])</f>
        <v>38665</v>
      </c>
      <c r="S178" s="3">
        <f>Table13[[#This Row],[Quantity]]*Table13[[#This Row],[UnitCost_NGN]]</f>
        <v>29000</v>
      </c>
      <c r="T178" s="3">
        <f>Table13[[#This Row],[NetRevenue]]-Table13[[#This Row],[TotalCost]]</f>
        <v>9665</v>
      </c>
      <c r="U178" s="3"/>
    </row>
    <row r="179" spans="1:21" x14ac:dyDescent="0.25">
      <c r="A179" t="s">
        <v>411</v>
      </c>
      <c r="B179" s="20">
        <v>45838</v>
      </c>
      <c r="C179" t="s">
        <v>18</v>
      </c>
      <c r="D179" t="s">
        <v>83</v>
      </c>
      <c r="E179" t="s">
        <v>84</v>
      </c>
      <c r="F179" t="s">
        <v>85</v>
      </c>
      <c r="G179" t="s">
        <v>62</v>
      </c>
      <c r="H179" t="s">
        <v>112</v>
      </c>
      <c r="I179" t="s">
        <v>51</v>
      </c>
      <c r="J179" t="s">
        <v>36</v>
      </c>
      <c r="K179">
        <v>3</v>
      </c>
      <c r="L179" s="3">
        <v>266000</v>
      </c>
      <c r="M179" s="3">
        <v>210000</v>
      </c>
      <c r="N179">
        <v>0.1</v>
      </c>
      <c r="O179" t="s">
        <v>37</v>
      </c>
      <c r="P179" t="s">
        <v>48</v>
      </c>
      <c r="Q179" s="3">
        <f>Table13[[#This Row],[Quantity]]*Table13[[#This Row],[UnitPrice_NGN]]</f>
        <v>798000</v>
      </c>
      <c r="R179" s="9">
        <f>Table13[[#This Row],[GrossRevenue]]*(1-Table13[[#This Row],[DiscountRate]])</f>
        <v>718200</v>
      </c>
      <c r="S179" s="3">
        <f>Table13[[#This Row],[Quantity]]*Table13[[#This Row],[UnitCost_NGN]]</f>
        <v>630000</v>
      </c>
      <c r="T179" s="3">
        <f>Table13[[#This Row],[NetRevenue]]-Table13[[#This Row],[TotalCost]]</f>
        <v>88200</v>
      </c>
      <c r="U179" s="3"/>
    </row>
    <row r="180" spans="1:21" x14ac:dyDescent="0.25">
      <c r="A180" t="s">
        <v>412</v>
      </c>
      <c r="B180" s="20">
        <v>45793</v>
      </c>
      <c r="C180" t="s">
        <v>40</v>
      </c>
      <c r="D180" t="s">
        <v>78</v>
      </c>
      <c r="E180" t="s">
        <v>79</v>
      </c>
      <c r="F180" t="s">
        <v>80</v>
      </c>
      <c r="G180" t="s">
        <v>33</v>
      </c>
      <c r="H180" t="s">
        <v>63</v>
      </c>
      <c r="I180" t="s">
        <v>70</v>
      </c>
      <c r="J180" t="s">
        <v>71</v>
      </c>
      <c r="K180">
        <v>1</v>
      </c>
      <c r="L180" s="3">
        <v>85500</v>
      </c>
      <c r="M180" s="3">
        <v>65100</v>
      </c>
      <c r="N180">
        <v>0</v>
      </c>
      <c r="O180" t="s">
        <v>148</v>
      </c>
      <c r="P180" t="s">
        <v>27</v>
      </c>
      <c r="Q180" s="3">
        <f>Table13[[#This Row],[Quantity]]*Table13[[#This Row],[UnitPrice_NGN]]</f>
        <v>85500</v>
      </c>
      <c r="R180" s="9">
        <f>Table13[[#This Row],[GrossRevenue]]*(1-Table13[[#This Row],[DiscountRate]])</f>
        <v>85500</v>
      </c>
      <c r="S180" s="3">
        <f>Table13[[#This Row],[Quantity]]*Table13[[#This Row],[UnitCost_NGN]]</f>
        <v>65100</v>
      </c>
      <c r="T180" s="3">
        <f>Table13[[#This Row],[NetRevenue]]-Table13[[#This Row],[TotalCost]]</f>
        <v>20400</v>
      </c>
      <c r="U180" s="3"/>
    </row>
    <row r="181" spans="1:21" x14ac:dyDescent="0.25">
      <c r="A181" t="s">
        <v>413</v>
      </c>
      <c r="B181" s="20">
        <v>45805</v>
      </c>
      <c r="C181" t="s">
        <v>40</v>
      </c>
      <c r="D181" t="s">
        <v>31</v>
      </c>
      <c r="E181" t="s">
        <v>32</v>
      </c>
      <c r="F181" t="s">
        <v>21</v>
      </c>
      <c r="G181" t="s">
        <v>33</v>
      </c>
      <c r="H181" t="s">
        <v>23</v>
      </c>
      <c r="I181" t="s">
        <v>55</v>
      </c>
      <c r="J181" t="s">
        <v>56</v>
      </c>
      <c r="K181">
        <v>4</v>
      </c>
      <c r="L181" s="3">
        <v>45600</v>
      </c>
      <c r="M181" s="3">
        <v>30000</v>
      </c>
      <c r="N181">
        <v>0.1</v>
      </c>
      <c r="O181" t="s">
        <v>57</v>
      </c>
      <c r="P181" t="s">
        <v>48</v>
      </c>
      <c r="Q181" s="3">
        <f>Table13[[#This Row],[Quantity]]*Table13[[#This Row],[UnitPrice_NGN]]</f>
        <v>182400</v>
      </c>
      <c r="R181" s="9">
        <f>Table13[[#This Row],[GrossRevenue]]*(1-Table13[[#This Row],[DiscountRate]])</f>
        <v>164160</v>
      </c>
      <c r="S181" s="3">
        <f>Table13[[#This Row],[Quantity]]*Table13[[#This Row],[UnitCost_NGN]]</f>
        <v>120000</v>
      </c>
      <c r="T181" s="3">
        <f>Table13[[#This Row],[NetRevenue]]-Table13[[#This Row],[TotalCost]]</f>
        <v>44160</v>
      </c>
      <c r="U181" s="3"/>
    </row>
    <row r="182" spans="1:21" x14ac:dyDescent="0.25">
      <c r="A182" t="s">
        <v>415</v>
      </c>
      <c r="B182" s="20">
        <v>45849</v>
      </c>
      <c r="C182" t="s">
        <v>30</v>
      </c>
      <c r="D182" t="s">
        <v>120</v>
      </c>
      <c r="E182" t="s">
        <v>121</v>
      </c>
      <c r="F182" t="s">
        <v>122</v>
      </c>
      <c r="G182" t="s">
        <v>62</v>
      </c>
      <c r="H182" t="s">
        <v>34</v>
      </c>
      <c r="I182" t="s">
        <v>45</v>
      </c>
      <c r="J182" t="s">
        <v>46</v>
      </c>
      <c r="K182">
        <v>4</v>
      </c>
      <c r="L182" s="3">
        <v>17575</v>
      </c>
      <c r="M182" s="3">
        <v>13775</v>
      </c>
      <c r="N182">
        <v>0.05</v>
      </c>
      <c r="O182" t="s">
        <v>64</v>
      </c>
      <c r="P182" t="s">
        <v>48</v>
      </c>
      <c r="Q182" s="3">
        <f>Table13[[#This Row],[Quantity]]*Table13[[#This Row],[UnitPrice_NGN]]</f>
        <v>70300</v>
      </c>
      <c r="R182" s="9">
        <f>Table13[[#This Row],[GrossRevenue]]*(1-Table13[[#This Row],[DiscountRate]])</f>
        <v>66785</v>
      </c>
      <c r="S182" s="3">
        <f>Table13[[#This Row],[Quantity]]*Table13[[#This Row],[UnitCost_NGN]]</f>
        <v>55100</v>
      </c>
      <c r="T182" s="3">
        <f>Table13[[#This Row],[NetRevenue]]-Table13[[#This Row],[TotalCost]]</f>
        <v>11685</v>
      </c>
      <c r="U182" s="3"/>
    </row>
    <row r="183" spans="1:21" x14ac:dyDescent="0.25">
      <c r="A183" t="s">
        <v>416</v>
      </c>
      <c r="B183" s="20">
        <v>45728</v>
      </c>
      <c r="C183" t="s">
        <v>40</v>
      </c>
      <c r="D183" t="s">
        <v>78</v>
      </c>
      <c r="E183" t="s">
        <v>79</v>
      </c>
      <c r="F183" t="s">
        <v>80</v>
      </c>
      <c r="G183" t="s">
        <v>33</v>
      </c>
      <c r="H183" t="s">
        <v>23</v>
      </c>
      <c r="I183" t="s">
        <v>45</v>
      </c>
      <c r="J183" t="s">
        <v>46</v>
      </c>
      <c r="K183">
        <v>3</v>
      </c>
      <c r="L183" s="3">
        <v>16650</v>
      </c>
      <c r="M183" s="3">
        <v>13775</v>
      </c>
      <c r="N183">
        <v>0</v>
      </c>
      <c r="O183" t="s">
        <v>37</v>
      </c>
      <c r="P183" t="s">
        <v>27</v>
      </c>
      <c r="Q183" s="3">
        <f>Table13[[#This Row],[Quantity]]*Table13[[#This Row],[UnitPrice_NGN]]</f>
        <v>49950</v>
      </c>
      <c r="R183" s="9">
        <f>Table13[[#This Row],[GrossRevenue]]*(1-Table13[[#This Row],[DiscountRate]])</f>
        <v>49950</v>
      </c>
      <c r="S183" s="3">
        <f>Table13[[#This Row],[Quantity]]*Table13[[#This Row],[UnitCost_NGN]]</f>
        <v>41325</v>
      </c>
      <c r="T183" s="3">
        <f>Table13[[#This Row],[NetRevenue]]-Table13[[#This Row],[TotalCost]]</f>
        <v>8625</v>
      </c>
      <c r="U183" s="3"/>
    </row>
    <row r="184" spans="1:21" x14ac:dyDescent="0.25">
      <c r="A184" t="s">
        <v>418</v>
      </c>
      <c r="B184" s="20">
        <v>45821</v>
      </c>
      <c r="C184" t="s">
        <v>40</v>
      </c>
      <c r="D184" t="s">
        <v>131</v>
      </c>
      <c r="E184" t="s">
        <v>132</v>
      </c>
      <c r="F184" t="s">
        <v>80</v>
      </c>
      <c r="G184" t="s">
        <v>62</v>
      </c>
      <c r="H184" t="s">
        <v>23</v>
      </c>
      <c r="I184" t="s">
        <v>75</v>
      </c>
      <c r="J184" t="s">
        <v>36</v>
      </c>
      <c r="K184">
        <v>10</v>
      </c>
      <c r="L184" s="3">
        <v>171000</v>
      </c>
      <c r="M184" s="3">
        <v>130000</v>
      </c>
      <c r="N184">
        <v>0.1</v>
      </c>
      <c r="O184" t="s">
        <v>47</v>
      </c>
      <c r="P184" t="s">
        <v>48</v>
      </c>
      <c r="Q184" s="3">
        <f>Table13[[#This Row],[Quantity]]*Table13[[#This Row],[UnitPrice_NGN]]</f>
        <v>1710000</v>
      </c>
      <c r="R184" s="9">
        <f>Table13[[#This Row],[GrossRevenue]]*(1-Table13[[#This Row],[DiscountRate]])</f>
        <v>1539000</v>
      </c>
      <c r="S184" s="3">
        <f>Table13[[#This Row],[Quantity]]*Table13[[#This Row],[UnitCost_NGN]]</f>
        <v>1300000</v>
      </c>
      <c r="T184" s="3">
        <f>Table13[[#This Row],[NetRevenue]]-Table13[[#This Row],[TotalCost]]</f>
        <v>239000</v>
      </c>
      <c r="U184" s="3"/>
    </row>
    <row r="185" spans="1:21" x14ac:dyDescent="0.25">
      <c r="A185" t="s">
        <v>419</v>
      </c>
      <c r="B185" s="20">
        <v>45666</v>
      </c>
      <c r="C185" t="s">
        <v>40</v>
      </c>
      <c r="D185" t="s">
        <v>78</v>
      </c>
      <c r="E185" t="s">
        <v>79</v>
      </c>
      <c r="F185" t="s">
        <v>80</v>
      </c>
      <c r="G185" t="s">
        <v>22</v>
      </c>
      <c r="H185" t="s">
        <v>112</v>
      </c>
      <c r="I185" t="s">
        <v>93</v>
      </c>
      <c r="J185" t="s">
        <v>46</v>
      </c>
      <c r="K185">
        <v>4</v>
      </c>
      <c r="L185" s="3">
        <v>99750</v>
      </c>
      <c r="M185" s="3">
        <v>82000</v>
      </c>
      <c r="N185">
        <v>0.05</v>
      </c>
      <c r="O185" t="s">
        <v>57</v>
      </c>
      <c r="P185" t="s">
        <v>48</v>
      </c>
      <c r="Q185" s="3">
        <f>Table13[[#This Row],[Quantity]]*Table13[[#This Row],[UnitPrice_NGN]]</f>
        <v>399000</v>
      </c>
      <c r="R185" s="9">
        <f>Table13[[#This Row],[GrossRevenue]]*(1-Table13[[#This Row],[DiscountRate]])</f>
        <v>379050</v>
      </c>
      <c r="S185" s="3">
        <f>Table13[[#This Row],[Quantity]]*Table13[[#This Row],[UnitCost_NGN]]</f>
        <v>328000</v>
      </c>
      <c r="T185" s="3">
        <f>Table13[[#This Row],[NetRevenue]]-Table13[[#This Row],[TotalCost]]</f>
        <v>51050</v>
      </c>
      <c r="U185" s="3"/>
    </row>
    <row r="186" spans="1:21" x14ac:dyDescent="0.25">
      <c r="A186" t="s">
        <v>421</v>
      </c>
      <c r="B186" s="20">
        <v>45993</v>
      </c>
      <c r="C186" t="s">
        <v>30</v>
      </c>
      <c r="D186" t="s">
        <v>136</v>
      </c>
      <c r="E186" t="s">
        <v>137</v>
      </c>
      <c r="F186" t="s">
        <v>122</v>
      </c>
      <c r="G186" t="s">
        <v>44</v>
      </c>
      <c r="H186" t="s">
        <v>96</v>
      </c>
      <c r="I186" t="s">
        <v>102</v>
      </c>
      <c r="J186" t="s">
        <v>25</v>
      </c>
      <c r="K186">
        <v>4</v>
      </c>
      <c r="L186" s="3">
        <v>42000</v>
      </c>
      <c r="M186" s="3">
        <v>27300</v>
      </c>
      <c r="N186">
        <v>0</v>
      </c>
      <c r="O186" t="s">
        <v>37</v>
      </c>
      <c r="P186" t="s">
        <v>133</v>
      </c>
      <c r="Q186" s="3">
        <f>Table13[[#This Row],[Quantity]]*Table13[[#This Row],[UnitPrice_NGN]]</f>
        <v>168000</v>
      </c>
      <c r="R186" s="9">
        <f>Table13[[#This Row],[GrossRevenue]]*(1-Table13[[#This Row],[DiscountRate]])</f>
        <v>168000</v>
      </c>
      <c r="S186" s="3">
        <f>Table13[[#This Row],[Quantity]]*Table13[[#This Row],[UnitCost_NGN]]</f>
        <v>109200</v>
      </c>
      <c r="T186" s="3">
        <f>Table13[[#This Row],[NetRevenue]]-Table13[[#This Row],[TotalCost]]</f>
        <v>58800</v>
      </c>
      <c r="U186" s="3"/>
    </row>
    <row r="187" spans="1:21" x14ac:dyDescent="0.25">
      <c r="A187" t="s">
        <v>422</v>
      </c>
      <c r="B187" s="20">
        <v>46006</v>
      </c>
      <c r="C187" t="s">
        <v>18</v>
      </c>
      <c r="D187" t="s">
        <v>78</v>
      </c>
      <c r="E187" t="s">
        <v>79</v>
      </c>
      <c r="F187" t="s">
        <v>80</v>
      </c>
      <c r="G187" t="s">
        <v>22</v>
      </c>
      <c r="H187" t="s">
        <v>34</v>
      </c>
      <c r="I187" t="s">
        <v>75</v>
      </c>
      <c r="J187" t="s">
        <v>36</v>
      </c>
      <c r="K187">
        <v>4</v>
      </c>
      <c r="L187" s="3">
        <v>180000</v>
      </c>
      <c r="M187" s="3">
        <v>136500</v>
      </c>
      <c r="N187">
        <v>0</v>
      </c>
      <c r="O187" t="s">
        <v>148</v>
      </c>
      <c r="P187" t="s">
        <v>48</v>
      </c>
      <c r="Q187" s="3">
        <f>Table13[[#This Row],[Quantity]]*Table13[[#This Row],[UnitPrice_NGN]]</f>
        <v>720000</v>
      </c>
      <c r="R187" s="9">
        <f>Table13[[#This Row],[GrossRevenue]]*(1-Table13[[#This Row],[DiscountRate]])</f>
        <v>720000</v>
      </c>
      <c r="S187" s="3">
        <f>Table13[[#This Row],[Quantity]]*Table13[[#This Row],[UnitCost_NGN]]</f>
        <v>546000</v>
      </c>
      <c r="T187" s="3">
        <f>Table13[[#This Row],[NetRevenue]]-Table13[[#This Row],[TotalCost]]</f>
        <v>174000</v>
      </c>
      <c r="U187" s="3"/>
    </row>
    <row r="188" spans="1:21" x14ac:dyDescent="0.25">
      <c r="A188" t="s">
        <v>424</v>
      </c>
      <c r="B188" s="20">
        <v>45914</v>
      </c>
      <c r="C188" t="s">
        <v>40</v>
      </c>
      <c r="D188" t="s">
        <v>88</v>
      </c>
      <c r="E188" t="s">
        <v>89</v>
      </c>
      <c r="F188" t="s">
        <v>43</v>
      </c>
      <c r="G188" t="s">
        <v>22</v>
      </c>
      <c r="H188" t="s">
        <v>34</v>
      </c>
      <c r="I188" t="s">
        <v>97</v>
      </c>
      <c r="J188" t="s">
        <v>56</v>
      </c>
      <c r="K188">
        <v>3</v>
      </c>
      <c r="L188" s="3">
        <v>125000</v>
      </c>
      <c r="M188" s="3">
        <v>85000</v>
      </c>
      <c r="N188">
        <v>0.05</v>
      </c>
      <c r="O188" t="s">
        <v>64</v>
      </c>
      <c r="P188" t="s">
        <v>133</v>
      </c>
      <c r="Q188" s="3">
        <f>Table13[[#This Row],[Quantity]]*Table13[[#This Row],[UnitPrice_NGN]]</f>
        <v>375000</v>
      </c>
      <c r="R188" s="9">
        <f>Table13[[#This Row],[GrossRevenue]]*(1-Table13[[#This Row],[DiscountRate]])</f>
        <v>356250</v>
      </c>
      <c r="S188" s="3">
        <f>Table13[[#This Row],[Quantity]]*Table13[[#This Row],[UnitCost_NGN]]</f>
        <v>255000</v>
      </c>
      <c r="T188" s="3">
        <f>Table13[[#This Row],[NetRevenue]]-Table13[[#This Row],[TotalCost]]</f>
        <v>101250</v>
      </c>
      <c r="U188" s="3"/>
    </row>
    <row r="189" spans="1:21" x14ac:dyDescent="0.25">
      <c r="A189" t="s">
        <v>425</v>
      </c>
      <c r="B189" s="20">
        <v>45746</v>
      </c>
      <c r="C189" t="s">
        <v>30</v>
      </c>
      <c r="D189" t="s">
        <v>88</v>
      </c>
      <c r="E189" t="s">
        <v>89</v>
      </c>
      <c r="F189" t="s">
        <v>43</v>
      </c>
      <c r="G189" t="s">
        <v>62</v>
      </c>
      <c r="H189" t="s">
        <v>23</v>
      </c>
      <c r="I189" t="s">
        <v>93</v>
      </c>
      <c r="J189" t="s">
        <v>46</v>
      </c>
      <c r="K189">
        <v>15</v>
      </c>
      <c r="L189" s="3">
        <v>95000</v>
      </c>
      <c r="M189" s="3">
        <v>86100</v>
      </c>
      <c r="N189">
        <v>0</v>
      </c>
      <c r="O189" t="s">
        <v>47</v>
      </c>
      <c r="P189" t="s">
        <v>72</v>
      </c>
      <c r="Q189" s="3">
        <f>Table13[[#This Row],[Quantity]]*Table13[[#This Row],[UnitPrice_NGN]]</f>
        <v>1425000</v>
      </c>
      <c r="R189" s="9">
        <f>Table13[[#This Row],[GrossRevenue]]*(1-Table13[[#This Row],[DiscountRate]])</f>
        <v>1425000</v>
      </c>
      <c r="S189" s="3">
        <f>Table13[[#This Row],[Quantity]]*Table13[[#This Row],[UnitCost_NGN]]</f>
        <v>1291500</v>
      </c>
      <c r="T189" s="3">
        <f>Table13[[#This Row],[NetRevenue]]-Table13[[#This Row],[TotalCost]]</f>
        <v>133500</v>
      </c>
      <c r="U189" s="3"/>
    </row>
    <row r="190" spans="1:21" x14ac:dyDescent="0.25">
      <c r="A190" t="s">
        <v>427</v>
      </c>
      <c r="B190" s="20">
        <v>45905</v>
      </c>
      <c r="C190" t="s">
        <v>18</v>
      </c>
      <c r="D190" t="s">
        <v>136</v>
      </c>
      <c r="E190" t="s">
        <v>137</v>
      </c>
      <c r="F190" t="s">
        <v>122</v>
      </c>
      <c r="G190" t="s">
        <v>62</v>
      </c>
      <c r="H190" t="s">
        <v>23</v>
      </c>
      <c r="I190" t="s">
        <v>24</v>
      </c>
      <c r="J190" t="s">
        <v>25</v>
      </c>
      <c r="K190">
        <v>5</v>
      </c>
      <c r="L190" s="3">
        <v>24200</v>
      </c>
      <c r="M190" s="3">
        <v>13000</v>
      </c>
      <c r="N190">
        <v>0.1</v>
      </c>
      <c r="O190" t="s">
        <v>57</v>
      </c>
      <c r="P190" t="s">
        <v>48</v>
      </c>
      <c r="Q190" s="3">
        <f>Table13[[#This Row],[Quantity]]*Table13[[#This Row],[UnitPrice_NGN]]</f>
        <v>121000</v>
      </c>
      <c r="R190" s="9">
        <f>Table13[[#This Row],[GrossRevenue]]*(1-Table13[[#This Row],[DiscountRate]])</f>
        <v>108900</v>
      </c>
      <c r="S190" s="3">
        <f>Table13[[#This Row],[Quantity]]*Table13[[#This Row],[UnitCost_NGN]]</f>
        <v>65000</v>
      </c>
      <c r="T190" s="3">
        <f>Table13[[#This Row],[NetRevenue]]-Table13[[#This Row],[TotalCost]]</f>
        <v>43900</v>
      </c>
      <c r="U190" s="3"/>
    </row>
    <row r="191" spans="1:21" x14ac:dyDescent="0.25">
      <c r="A191" t="s">
        <v>429</v>
      </c>
      <c r="B191" s="20">
        <v>46018</v>
      </c>
      <c r="C191" t="s">
        <v>40</v>
      </c>
      <c r="D191" t="s">
        <v>41</v>
      </c>
      <c r="E191" t="s">
        <v>42</v>
      </c>
      <c r="F191" t="s">
        <v>43</v>
      </c>
      <c r="G191" t="s">
        <v>33</v>
      </c>
      <c r="H191" t="s">
        <v>63</v>
      </c>
      <c r="I191" t="s">
        <v>113</v>
      </c>
      <c r="J191" t="s">
        <v>36</v>
      </c>
      <c r="K191">
        <v>6</v>
      </c>
      <c r="L191" s="3">
        <v>168000</v>
      </c>
      <c r="M191" s="3">
        <v>115000</v>
      </c>
      <c r="N191">
        <v>0.15</v>
      </c>
      <c r="O191" t="s">
        <v>57</v>
      </c>
      <c r="P191" t="s">
        <v>72</v>
      </c>
      <c r="Q191" s="3">
        <f>Table13[[#This Row],[Quantity]]*Table13[[#This Row],[UnitPrice_NGN]]</f>
        <v>1008000</v>
      </c>
      <c r="R191" s="9">
        <f>Table13[[#This Row],[GrossRevenue]]*(1-Table13[[#This Row],[DiscountRate]])</f>
        <v>856800</v>
      </c>
      <c r="S191" s="3">
        <f>Table13[[#This Row],[Quantity]]*Table13[[#This Row],[UnitCost_NGN]]</f>
        <v>690000</v>
      </c>
      <c r="T191" s="3">
        <f>Table13[[#This Row],[NetRevenue]]-Table13[[#This Row],[TotalCost]]</f>
        <v>166800</v>
      </c>
      <c r="U191" s="3"/>
    </row>
    <row r="192" spans="1:21" x14ac:dyDescent="0.25">
      <c r="A192" t="s">
        <v>430</v>
      </c>
      <c r="B192" s="20">
        <v>45834</v>
      </c>
      <c r="C192" t="s">
        <v>40</v>
      </c>
      <c r="D192" t="s">
        <v>19</v>
      </c>
      <c r="E192" t="s">
        <v>20</v>
      </c>
      <c r="F192" t="s">
        <v>21</v>
      </c>
      <c r="G192" t="s">
        <v>22</v>
      </c>
      <c r="H192" t="s">
        <v>63</v>
      </c>
      <c r="I192" t="s">
        <v>70</v>
      </c>
      <c r="J192" t="s">
        <v>71</v>
      </c>
      <c r="K192">
        <v>4</v>
      </c>
      <c r="L192" s="3">
        <v>95000</v>
      </c>
      <c r="M192" s="3">
        <v>65100</v>
      </c>
      <c r="N192">
        <v>0.05</v>
      </c>
      <c r="O192" t="s">
        <v>52</v>
      </c>
      <c r="P192" t="s">
        <v>48</v>
      </c>
      <c r="Q192" s="3">
        <f>Table13[[#This Row],[Quantity]]*Table13[[#This Row],[UnitPrice_NGN]]</f>
        <v>380000</v>
      </c>
      <c r="R192" s="9">
        <f>Table13[[#This Row],[GrossRevenue]]*(1-Table13[[#This Row],[DiscountRate]])</f>
        <v>361000</v>
      </c>
      <c r="S192" s="3">
        <f>Table13[[#This Row],[Quantity]]*Table13[[#This Row],[UnitCost_NGN]]</f>
        <v>260400</v>
      </c>
      <c r="T192" s="3">
        <f>Table13[[#This Row],[NetRevenue]]-Table13[[#This Row],[TotalCost]]</f>
        <v>100600</v>
      </c>
      <c r="U192" s="3"/>
    </row>
    <row r="193" spans="1:21" x14ac:dyDescent="0.25">
      <c r="A193" t="s">
        <v>432</v>
      </c>
      <c r="B193" s="20">
        <v>45761</v>
      </c>
      <c r="C193" t="s">
        <v>40</v>
      </c>
      <c r="D193" t="s">
        <v>110</v>
      </c>
      <c r="E193" t="s">
        <v>111</v>
      </c>
      <c r="F193" t="s">
        <v>85</v>
      </c>
      <c r="G193" t="s">
        <v>62</v>
      </c>
      <c r="H193" t="s">
        <v>34</v>
      </c>
      <c r="I193" t="s">
        <v>105</v>
      </c>
      <c r="J193" t="s">
        <v>71</v>
      </c>
      <c r="K193">
        <v>5</v>
      </c>
      <c r="L193" s="3">
        <v>183750</v>
      </c>
      <c r="M193" s="3">
        <v>126000</v>
      </c>
      <c r="N193">
        <v>0</v>
      </c>
      <c r="O193" t="s">
        <v>52</v>
      </c>
      <c r="P193" t="s">
        <v>133</v>
      </c>
      <c r="Q193" s="3">
        <f>Table13[[#This Row],[Quantity]]*Table13[[#This Row],[UnitPrice_NGN]]</f>
        <v>918750</v>
      </c>
      <c r="R193" s="9">
        <f>Table13[[#This Row],[GrossRevenue]]*(1-Table13[[#This Row],[DiscountRate]])</f>
        <v>918750</v>
      </c>
      <c r="S193" s="3">
        <f>Table13[[#This Row],[Quantity]]*Table13[[#This Row],[UnitCost_NGN]]</f>
        <v>630000</v>
      </c>
      <c r="T193" s="3">
        <f>Table13[[#This Row],[NetRevenue]]-Table13[[#This Row],[TotalCost]]</f>
        <v>288750</v>
      </c>
      <c r="U193" s="3"/>
    </row>
    <row r="194" spans="1:21" x14ac:dyDescent="0.25">
      <c r="A194" t="s">
        <v>434</v>
      </c>
      <c r="B194" s="20">
        <v>45929</v>
      </c>
      <c r="C194" t="s">
        <v>30</v>
      </c>
      <c r="D194" t="s">
        <v>136</v>
      </c>
      <c r="E194" t="s">
        <v>137</v>
      </c>
      <c r="F194" t="s">
        <v>122</v>
      </c>
      <c r="G194" t="s">
        <v>44</v>
      </c>
      <c r="H194" t="s">
        <v>96</v>
      </c>
      <c r="I194" t="s">
        <v>45</v>
      </c>
      <c r="J194" t="s">
        <v>46</v>
      </c>
      <c r="K194">
        <v>4</v>
      </c>
      <c r="L194" s="3">
        <v>17575</v>
      </c>
      <c r="M194" s="3">
        <v>13775</v>
      </c>
      <c r="N194">
        <v>0.15</v>
      </c>
      <c r="O194" t="s">
        <v>52</v>
      </c>
      <c r="P194" t="s">
        <v>48</v>
      </c>
      <c r="Q194" s="3">
        <f>Table13[[#This Row],[Quantity]]*Table13[[#This Row],[UnitPrice_NGN]]</f>
        <v>70300</v>
      </c>
      <c r="R194" s="9">
        <f>Table13[[#This Row],[GrossRevenue]]*(1-Table13[[#This Row],[DiscountRate]])</f>
        <v>59755</v>
      </c>
      <c r="S194" s="3">
        <f>Table13[[#This Row],[Quantity]]*Table13[[#This Row],[UnitCost_NGN]]</f>
        <v>55100</v>
      </c>
      <c r="T194" s="3">
        <f>Table13[[#This Row],[NetRevenue]]-Table13[[#This Row],[TotalCost]]</f>
        <v>4655</v>
      </c>
      <c r="U194" s="3"/>
    </row>
    <row r="195" spans="1:21" x14ac:dyDescent="0.25">
      <c r="A195" t="s">
        <v>435</v>
      </c>
      <c r="B195" s="20">
        <v>45939</v>
      </c>
      <c r="C195" t="s">
        <v>40</v>
      </c>
      <c r="D195" t="s">
        <v>88</v>
      </c>
      <c r="E195" t="s">
        <v>89</v>
      </c>
      <c r="F195" t="s">
        <v>43</v>
      </c>
      <c r="G195" t="s">
        <v>33</v>
      </c>
      <c r="H195" t="s">
        <v>112</v>
      </c>
      <c r="I195" t="s">
        <v>55</v>
      </c>
      <c r="J195" t="s">
        <v>56</v>
      </c>
      <c r="K195">
        <v>5</v>
      </c>
      <c r="L195" s="3">
        <v>43200</v>
      </c>
      <c r="M195" s="3">
        <v>30000</v>
      </c>
      <c r="N195">
        <v>0</v>
      </c>
      <c r="O195" t="s">
        <v>64</v>
      </c>
      <c r="P195" t="s">
        <v>48</v>
      </c>
      <c r="Q195" s="3">
        <f>Table13[[#This Row],[Quantity]]*Table13[[#This Row],[UnitPrice_NGN]]</f>
        <v>216000</v>
      </c>
      <c r="R195" s="9">
        <f>Table13[[#This Row],[GrossRevenue]]*(1-Table13[[#This Row],[DiscountRate]])</f>
        <v>216000</v>
      </c>
      <c r="S195" s="3">
        <f>Table13[[#This Row],[Quantity]]*Table13[[#This Row],[UnitCost_NGN]]</f>
        <v>150000</v>
      </c>
      <c r="T195" s="3">
        <f>Table13[[#This Row],[NetRevenue]]-Table13[[#This Row],[TotalCost]]</f>
        <v>66000</v>
      </c>
      <c r="U195" s="3"/>
    </row>
    <row r="196" spans="1:21" x14ac:dyDescent="0.25">
      <c r="A196" t="s">
        <v>437</v>
      </c>
      <c r="B196" s="20">
        <v>45951</v>
      </c>
      <c r="C196" t="s">
        <v>30</v>
      </c>
      <c r="D196" t="s">
        <v>88</v>
      </c>
      <c r="E196" t="s">
        <v>89</v>
      </c>
      <c r="F196" t="s">
        <v>43</v>
      </c>
      <c r="G196" t="s">
        <v>22</v>
      </c>
      <c r="H196" t="s">
        <v>34</v>
      </c>
      <c r="I196" t="s">
        <v>70</v>
      </c>
      <c r="J196" t="s">
        <v>71</v>
      </c>
      <c r="K196">
        <v>2</v>
      </c>
      <c r="L196" s="3">
        <v>85500</v>
      </c>
      <c r="M196" s="3">
        <v>58900</v>
      </c>
      <c r="N196">
        <v>0.15</v>
      </c>
      <c r="O196" t="s">
        <v>26</v>
      </c>
      <c r="P196" t="s">
        <v>48</v>
      </c>
      <c r="Q196" s="3">
        <f>Table13[[#This Row],[Quantity]]*Table13[[#This Row],[UnitPrice_NGN]]</f>
        <v>171000</v>
      </c>
      <c r="R196" s="9">
        <f>Table13[[#This Row],[GrossRevenue]]*(1-Table13[[#This Row],[DiscountRate]])</f>
        <v>145350</v>
      </c>
      <c r="S196" s="3">
        <f>Table13[[#This Row],[Quantity]]*Table13[[#This Row],[UnitCost_NGN]]</f>
        <v>117800</v>
      </c>
      <c r="T196" s="3">
        <f>Table13[[#This Row],[NetRevenue]]-Table13[[#This Row],[TotalCost]]</f>
        <v>27550</v>
      </c>
      <c r="U196" s="3"/>
    </row>
    <row r="197" spans="1:21" x14ac:dyDescent="0.25">
      <c r="A197" t="s">
        <v>439</v>
      </c>
      <c r="B197" s="20">
        <v>45806</v>
      </c>
      <c r="C197" t="s">
        <v>18</v>
      </c>
      <c r="D197" t="s">
        <v>31</v>
      </c>
      <c r="E197" t="s">
        <v>32</v>
      </c>
      <c r="F197" t="s">
        <v>21</v>
      </c>
      <c r="G197" t="s">
        <v>62</v>
      </c>
      <c r="H197" t="s">
        <v>23</v>
      </c>
      <c r="I197" t="s">
        <v>75</v>
      </c>
      <c r="J197" t="s">
        <v>36</v>
      </c>
      <c r="K197">
        <v>15</v>
      </c>
      <c r="L197" s="3">
        <v>180000</v>
      </c>
      <c r="M197" s="3">
        <v>136500</v>
      </c>
      <c r="N197">
        <v>0</v>
      </c>
      <c r="O197" t="s">
        <v>52</v>
      </c>
      <c r="P197" t="s">
        <v>48</v>
      </c>
      <c r="Q197" s="3">
        <f>Table13[[#This Row],[Quantity]]*Table13[[#This Row],[UnitPrice_NGN]]</f>
        <v>2700000</v>
      </c>
      <c r="R197" s="9">
        <f>Table13[[#This Row],[GrossRevenue]]*(1-Table13[[#This Row],[DiscountRate]])</f>
        <v>2700000</v>
      </c>
      <c r="S197" s="3">
        <f>Table13[[#This Row],[Quantity]]*Table13[[#This Row],[UnitCost_NGN]]</f>
        <v>2047500</v>
      </c>
      <c r="T197" s="3">
        <f>Table13[[#This Row],[NetRevenue]]-Table13[[#This Row],[TotalCost]]</f>
        <v>652500</v>
      </c>
      <c r="U197" s="3"/>
    </row>
    <row r="198" spans="1:21" x14ac:dyDescent="0.25">
      <c r="A198" t="s">
        <v>440</v>
      </c>
      <c r="B198" s="20">
        <v>45916</v>
      </c>
      <c r="C198" t="s">
        <v>40</v>
      </c>
      <c r="D198" t="s">
        <v>41</v>
      </c>
      <c r="E198" t="s">
        <v>42</v>
      </c>
      <c r="F198" t="s">
        <v>43</v>
      </c>
      <c r="G198" t="s">
        <v>44</v>
      </c>
      <c r="H198" t="s">
        <v>96</v>
      </c>
      <c r="I198" t="s">
        <v>105</v>
      </c>
      <c r="J198" t="s">
        <v>71</v>
      </c>
      <c r="K198">
        <v>3</v>
      </c>
      <c r="L198" s="3">
        <v>183750</v>
      </c>
      <c r="M198" s="3">
        <v>126000</v>
      </c>
      <c r="N198">
        <v>0</v>
      </c>
      <c r="O198" t="s">
        <v>47</v>
      </c>
      <c r="P198" t="s">
        <v>72</v>
      </c>
      <c r="Q198" s="3">
        <f>Table13[[#This Row],[Quantity]]*Table13[[#This Row],[UnitPrice_NGN]]</f>
        <v>551250</v>
      </c>
      <c r="R198" s="9">
        <f>Table13[[#This Row],[GrossRevenue]]*(1-Table13[[#This Row],[DiscountRate]])</f>
        <v>551250</v>
      </c>
      <c r="S198" s="3">
        <f>Table13[[#This Row],[Quantity]]*Table13[[#This Row],[UnitCost_NGN]]</f>
        <v>378000</v>
      </c>
      <c r="T198" s="3">
        <f>Table13[[#This Row],[NetRevenue]]-Table13[[#This Row],[TotalCost]]</f>
        <v>173250</v>
      </c>
      <c r="U198" s="3"/>
    </row>
    <row r="199" spans="1:21" x14ac:dyDescent="0.25">
      <c r="A199" t="s">
        <v>442</v>
      </c>
      <c r="B199" s="20">
        <v>45830</v>
      </c>
      <c r="C199" t="s">
        <v>30</v>
      </c>
      <c r="D199" t="s">
        <v>136</v>
      </c>
      <c r="E199" t="s">
        <v>137</v>
      </c>
      <c r="F199" t="s">
        <v>122</v>
      </c>
      <c r="G199" t="s">
        <v>44</v>
      </c>
      <c r="H199" t="s">
        <v>34</v>
      </c>
      <c r="I199" t="s">
        <v>75</v>
      </c>
      <c r="J199" t="s">
        <v>36</v>
      </c>
      <c r="K199">
        <v>3</v>
      </c>
      <c r="L199" s="3">
        <v>180000</v>
      </c>
      <c r="M199" s="3">
        <v>130000</v>
      </c>
      <c r="N199">
        <v>0</v>
      </c>
      <c r="O199" t="s">
        <v>26</v>
      </c>
      <c r="P199" t="s">
        <v>48</v>
      </c>
      <c r="Q199" s="3">
        <f>Table13[[#This Row],[Quantity]]*Table13[[#This Row],[UnitPrice_NGN]]</f>
        <v>540000</v>
      </c>
      <c r="R199" s="9">
        <f>Table13[[#This Row],[GrossRevenue]]*(1-Table13[[#This Row],[DiscountRate]])</f>
        <v>540000</v>
      </c>
      <c r="S199" s="3">
        <f>Table13[[#This Row],[Quantity]]*Table13[[#This Row],[UnitCost_NGN]]</f>
        <v>390000</v>
      </c>
      <c r="T199" s="3">
        <f>Table13[[#This Row],[NetRevenue]]-Table13[[#This Row],[TotalCost]]</f>
        <v>150000</v>
      </c>
      <c r="U199" s="3"/>
    </row>
    <row r="200" spans="1:21" x14ac:dyDescent="0.25">
      <c r="A200" t="s">
        <v>444</v>
      </c>
      <c r="B200" s="20">
        <v>45729</v>
      </c>
      <c r="C200" t="s">
        <v>40</v>
      </c>
      <c r="D200" t="s">
        <v>78</v>
      </c>
      <c r="E200" t="s">
        <v>79</v>
      </c>
      <c r="F200" t="s">
        <v>80</v>
      </c>
      <c r="G200" t="s">
        <v>44</v>
      </c>
      <c r="H200" t="s">
        <v>96</v>
      </c>
      <c r="I200" t="s">
        <v>55</v>
      </c>
      <c r="J200" t="s">
        <v>56</v>
      </c>
      <c r="K200">
        <v>2</v>
      </c>
      <c r="L200" s="3">
        <v>48000</v>
      </c>
      <c r="M200" s="3">
        <v>28500</v>
      </c>
      <c r="N200">
        <v>0</v>
      </c>
      <c r="O200" t="s">
        <v>57</v>
      </c>
      <c r="P200" t="s">
        <v>72</v>
      </c>
      <c r="Q200" s="3">
        <f>Table13[[#This Row],[Quantity]]*Table13[[#This Row],[UnitPrice_NGN]]</f>
        <v>96000</v>
      </c>
      <c r="R200" s="9">
        <f>Table13[[#This Row],[GrossRevenue]]*(1-Table13[[#This Row],[DiscountRate]])</f>
        <v>96000</v>
      </c>
      <c r="S200" s="3">
        <f>Table13[[#This Row],[Quantity]]*Table13[[#This Row],[UnitCost_NGN]]</f>
        <v>57000</v>
      </c>
      <c r="T200" s="3">
        <f>Table13[[#This Row],[NetRevenue]]-Table13[[#This Row],[TotalCost]]</f>
        <v>39000</v>
      </c>
      <c r="U200" s="3"/>
    </row>
    <row r="201" spans="1:21" x14ac:dyDescent="0.25">
      <c r="A201" t="s">
        <v>445</v>
      </c>
      <c r="B201" s="20">
        <v>45956</v>
      </c>
      <c r="C201" t="s">
        <v>30</v>
      </c>
      <c r="D201" t="s">
        <v>60</v>
      </c>
      <c r="E201" t="s">
        <v>61</v>
      </c>
      <c r="F201" t="s">
        <v>43</v>
      </c>
      <c r="G201" t="s">
        <v>22</v>
      </c>
      <c r="H201" t="s">
        <v>63</v>
      </c>
      <c r="I201" t="s">
        <v>55</v>
      </c>
      <c r="J201" t="s">
        <v>56</v>
      </c>
      <c r="K201">
        <v>3</v>
      </c>
      <c r="L201" s="3">
        <v>48000</v>
      </c>
      <c r="M201" s="3">
        <v>30000</v>
      </c>
      <c r="N201">
        <v>0</v>
      </c>
      <c r="O201" t="s">
        <v>47</v>
      </c>
      <c r="P201" t="s">
        <v>27</v>
      </c>
      <c r="Q201" s="3">
        <f>Table13[[#This Row],[Quantity]]*Table13[[#This Row],[UnitPrice_NGN]]</f>
        <v>144000</v>
      </c>
      <c r="R201" s="9">
        <f>Table13[[#This Row],[GrossRevenue]]*(1-Table13[[#This Row],[DiscountRate]])</f>
        <v>144000</v>
      </c>
      <c r="S201" s="3">
        <f>Table13[[#This Row],[Quantity]]*Table13[[#This Row],[UnitCost_NGN]]</f>
        <v>90000</v>
      </c>
      <c r="T201" s="3">
        <f>Table13[[#This Row],[NetRevenue]]-Table13[[#This Row],[TotalCost]]</f>
        <v>54000</v>
      </c>
      <c r="U201" s="3"/>
    </row>
    <row r="202" spans="1:21" x14ac:dyDescent="0.25">
      <c r="A202" t="s">
        <v>446</v>
      </c>
      <c r="B202" s="20">
        <v>45739</v>
      </c>
      <c r="C202" t="s">
        <v>30</v>
      </c>
      <c r="D202" t="s">
        <v>60</v>
      </c>
      <c r="E202" t="s">
        <v>61</v>
      </c>
      <c r="F202" t="s">
        <v>43</v>
      </c>
      <c r="G202" t="s">
        <v>62</v>
      </c>
      <c r="H202" t="s">
        <v>96</v>
      </c>
      <c r="I202" t="s">
        <v>102</v>
      </c>
      <c r="J202" t="s">
        <v>25</v>
      </c>
      <c r="K202">
        <v>1</v>
      </c>
      <c r="L202" s="3">
        <v>37800</v>
      </c>
      <c r="M202" s="3">
        <v>27300</v>
      </c>
      <c r="N202">
        <v>0</v>
      </c>
      <c r="O202" t="s">
        <v>57</v>
      </c>
      <c r="P202" t="s">
        <v>72</v>
      </c>
      <c r="Q202" s="3">
        <f>Table13[[#This Row],[Quantity]]*Table13[[#This Row],[UnitPrice_NGN]]</f>
        <v>37800</v>
      </c>
      <c r="R202" s="9">
        <f>Table13[[#This Row],[GrossRevenue]]*(1-Table13[[#This Row],[DiscountRate]])</f>
        <v>37800</v>
      </c>
      <c r="S202" s="3">
        <f>Table13[[#This Row],[Quantity]]*Table13[[#This Row],[UnitCost_NGN]]</f>
        <v>27300</v>
      </c>
      <c r="T202" s="3">
        <f>Table13[[#This Row],[NetRevenue]]-Table13[[#This Row],[TotalCost]]</f>
        <v>10500</v>
      </c>
      <c r="U202" s="3"/>
    </row>
    <row r="203" spans="1:21" x14ac:dyDescent="0.25">
      <c r="A203" t="s">
        <v>448</v>
      </c>
      <c r="B203" s="20">
        <v>45890</v>
      </c>
      <c r="C203" t="s">
        <v>30</v>
      </c>
      <c r="D203" t="s">
        <v>131</v>
      </c>
      <c r="E203" t="s">
        <v>132</v>
      </c>
      <c r="F203" t="s">
        <v>80</v>
      </c>
      <c r="G203" t="s">
        <v>62</v>
      </c>
      <c r="H203" t="s">
        <v>112</v>
      </c>
      <c r="I203" t="s">
        <v>105</v>
      </c>
      <c r="J203" t="s">
        <v>71</v>
      </c>
      <c r="K203">
        <v>2</v>
      </c>
      <c r="L203" s="3">
        <v>166250</v>
      </c>
      <c r="M203" s="3">
        <v>126000</v>
      </c>
      <c r="N203">
        <v>0</v>
      </c>
      <c r="O203" t="s">
        <v>37</v>
      </c>
      <c r="P203" t="s">
        <v>27</v>
      </c>
      <c r="Q203" s="3">
        <f>Table13[[#This Row],[Quantity]]*Table13[[#This Row],[UnitPrice_NGN]]</f>
        <v>332500</v>
      </c>
      <c r="R203" s="9">
        <f>Table13[[#This Row],[GrossRevenue]]*(1-Table13[[#This Row],[DiscountRate]])</f>
        <v>332500</v>
      </c>
      <c r="S203" s="3">
        <f>Table13[[#This Row],[Quantity]]*Table13[[#This Row],[UnitCost_NGN]]</f>
        <v>252000</v>
      </c>
      <c r="T203" s="3">
        <f>Table13[[#This Row],[NetRevenue]]-Table13[[#This Row],[TotalCost]]</f>
        <v>80500</v>
      </c>
      <c r="U203" s="3"/>
    </row>
    <row r="204" spans="1:21" x14ac:dyDescent="0.25">
      <c r="A204" t="s">
        <v>449</v>
      </c>
      <c r="B204" s="20">
        <v>45963</v>
      </c>
      <c r="C204" t="s">
        <v>30</v>
      </c>
      <c r="D204" t="s">
        <v>120</v>
      </c>
      <c r="E204" t="s">
        <v>121</v>
      </c>
      <c r="F204" t="s">
        <v>122</v>
      </c>
      <c r="G204" t="s">
        <v>33</v>
      </c>
      <c r="H204" t="s">
        <v>23</v>
      </c>
      <c r="I204" t="s">
        <v>93</v>
      </c>
      <c r="J204" t="s">
        <v>46</v>
      </c>
      <c r="K204">
        <v>8</v>
      </c>
      <c r="L204" s="3">
        <v>104500</v>
      </c>
      <c r="M204" s="3">
        <v>82000</v>
      </c>
      <c r="N204">
        <v>0.15</v>
      </c>
      <c r="O204" t="s">
        <v>47</v>
      </c>
      <c r="P204" t="s">
        <v>48</v>
      </c>
      <c r="Q204" s="3">
        <f>Table13[[#This Row],[Quantity]]*Table13[[#This Row],[UnitPrice_NGN]]</f>
        <v>836000</v>
      </c>
      <c r="R204" s="9">
        <f>Table13[[#This Row],[GrossRevenue]]*(1-Table13[[#This Row],[DiscountRate]])</f>
        <v>710600</v>
      </c>
      <c r="S204" s="3">
        <f>Table13[[#This Row],[Quantity]]*Table13[[#This Row],[UnitCost_NGN]]</f>
        <v>656000</v>
      </c>
      <c r="T204" s="3">
        <f>Table13[[#This Row],[NetRevenue]]-Table13[[#This Row],[TotalCost]]</f>
        <v>54600</v>
      </c>
      <c r="U204" s="3"/>
    </row>
    <row r="205" spans="1:21" x14ac:dyDescent="0.25">
      <c r="A205" t="s">
        <v>451</v>
      </c>
      <c r="B205" s="20">
        <v>45932</v>
      </c>
      <c r="C205" t="s">
        <v>18</v>
      </c>
      <c r="D205" t="s">
        <v>131</v>
      </c>
      <c r="E205" t="s">
        <v>132</v>
      </c>
      <c r="F205" t="s">
        <v>80</v>
      </c>
      <c r="G205" t="s">
        <v>62</v>
      </c>
      <c r="H205" t="s">
        <v>23</v>
      </c>
      <c r="I205" t="s">
        <v>51</v>
      </c>
      <c r="J205" t="s">
        <v>36</v>
      </c>
      <c r="K205">
        <v>1</v>
      </c>
      <c r="L205" s="3">
        <v>308000</v>
      </c>
      <c r="M205" s="3">
        <v>210000</v>
      </c>
      <c r="N205">
        <v>0.1</v>
      </c>
      <c r="O205" t="s">
        <v>37</v>
      </c>
      <c r="P205" t="s">
        <v>48</v>
      </c>
      <c r="Q205" s="3">
        <f>Table13[[#This Row],[Quantity]]*Table13[[#This Row],[UnitPrice_NGN]]</f>
        <v>308000</v>
      </c>
      <c r="R205" s="9">
        <f>Table13[[#This Row],[GrossRevenue]]*(1-Table13[[#This Row],[DiscountRate]])</f>
        <v>277200</v>
      </c>
      <c r="S205" s="3">
        <f>Table13[[#This Row],[Quantity]]*Table13[[#This Row],[UnitCost_NGN]]</f>
        <v>210000</v>
      </c>
      <c r="T205" s="3">
        <f>Table13[[#This Row],[NetRevenue]]-Table13[[#This Row],[TotalCost]]</f>
        <v>67200</v>
      </c>
      <c r="U205" s="3"/>
    </row>
    <row r="206" spans="1:21" x14ac:dyDescent="0.25">
      <c r="A206" t="s">
        <v>453</v>
      </c>
      <c r="B206" s="20">
        <v>45919</v>
      </c>
      <c r="C206" t="s">
        <v>18</v>
      </c>
      <c r="D206" t="s">
        <v>120</v>
      </c>
      <c r="E206" t="s">
        <v>121</v>
      </c>
      <c r="F206" t="s">
        <v>122</v>
      </c>
      <c r="G206" t="s">
        <v>33</v>
      </c>
      <c r="H206" t="s">
        <v>34</v>
      </c>
      <c r="I206" t="s">
        <v>51</v>
      </c>
      <c r="J206" t="s">
        <v>36</v>
      </c>
      <c r="K206">
        <v>2</v>
      </c>
      <c r="L206" s="3">
        <v>280000</v>
      </c>
      <c r="M206" s="3">
        <v>220500</v>
      </c>
      <c r="N206">
        <v>0</v>
      </c>
      <c r="O206" t="s">
        <v>26</v>
      </c>
      <c r="P206" t="s">
        <v>72</v>
      </c>
      <c r="Q206" s="3">
        <f>Table13[[#This Row],[Quantity]]*Table13[[#This Row],[UnitPrice_NGN]]</f>
        <v>560000</v>
      </c>
      <c r="R206" s="9">
        <f>Table13[[#This Row],[GrossRevenue]]*(1-Table13[[#This Row],[DiscountRate]])</f>
        <v>560000</v>
      </c>
      <c r="S206" s="3">
        <f>Table13[[#This Row],[Quantity]]*Table13[[#This Row],[UnitCost_NGN]]</f>
        <v>441000</v>
      </c>
      <c r="T206" s="3">
        <f>Table13[[#This Row],[NetRevenue]]-Table13[[#This Row],[TotalCost]]</f>
        <v>119000</v>
      </c>
      <c r="U206" s="3"/>
    </row>
    <row r="207" spans="1:21" x14ac:dyDescent="0.25">
      <c r="A207" t="s">
        <v>455</v>
      </c>
      <c r="B207" s="20">
        <v>45669</v>
      </c>
      <c r="C207" t="s">
        <v>40</v>
      </c>
      <c r="D207" t="s">
        <v>131</v>
      </c>
      <c r="E207" t="s">
        <v>132</v>
      </c>
      <c r="F207" t="s">
        <v>80</v>
      </c>
      <c r="G207" t="s">
        <v>22</v>
      </c>
      <c r="H207" t="s">
        <v>34</v>
      </c>
      <c r="I207" t="s">
        <v>97</v>
      </c>
      <c r="J207" t="s">
        <v>56</v>
      </c>
      <c r="K207">
        <v>1</v>
      </c>
      <c r="L207" s="3">
        <v>125000</v>
      </c>
      <c r="M207" s="3">
        <v>85000</v>
      </c>
      <c r="N207">
        <v>0.15</v>
      </c>
      <c r="O207" t="s">
        <v>52</v>
      </c>
      <c r="P207" t="s">
        <v>72</v>
      </c>
      <c r="Q207" s="3">
        <f>Table13[[#This Row],[Quantity]]*Table13[[#This Row],[UnitPrice_NGN]]</f>
        <v>125000</v>
      </c>
      <c r="R207" s="9">
        <f>Table13[[#This Row],[GrossRevenue]]*(1-Table13[[#This Row],[DiscountRate]])</f>
        <v>106250</v>
      </c>
      <c r="S207" s="3">
        <f>Table13[[#This Row],[Quantity]]*Table13[[#This Row],[UnitCost_NGN]]</f>
        <v>85000</v>
      </c>
      <c r="T207" s="3">
        <f>Table13[[#This Row],[NetRevenue]]-Table13[[#This Row],[TotalCost]]</f>
        <v>21250</v>
      </c>
      <c r="U207" s="3"/>
    </row>
    <row r="208" spans="1:21" x14ac:dyDescent="0.25">
      <c r="A208" t="s">
        <v>457</v>
      </c>
      <c r="B208" s="20">
        <v>45899</v>
      </c>
      <c r="C208" t="s">
        <v>40</v>
      </c>
      <c r="D208" t="s">
        <v>83</v>
      </c>
      <c r="E208" t="s">
        <v>84</v>
      </c>
      <c r="F208" t="s">
        <v>85</v>
      </c>
      <c r="G208" t="s">
        <v>33</v>
      </c>
      <c r="H208" t="s">
        <v>34</v>
      </c>
      <c r="I208" t="s">
        <v>35</v>
      </c>
      <c r="J208" t="s">
        <v>36</v>
      </c>
      <c r="K208">
        <v>2</v>
      </c>
      <c r="L208" s="3">
        <v>405000</v>
      </c>
      <c r="M208" s="3">
        <v>332500</v>
      </c>
      <c r="N208">
        <v>0</v>
      </c>
      <c r="O208" t="s">
        <v>90</v>
      </c>
      <c r="P208" t="s">
        <v>48</v>
      </c>
      <c r="Q208" s="3">
        <f>Table13[[#This Row],[Quantity]]*Table13[[#This Row],[UnitPrice_NGN]]</f>
        <v>810000</v>
      </c>
      <c r="R208" s="9">
        <f>Table13[[#This Row],[GrossRevenue]]*(1-Table13[[#This Row],[DiscountRate]])</f>
        <v>810000</v>
      </c>
      <c r="S208" s="3">
        <f>Table13[[#This Row],[Quantity]]*Table13[[#This Row],[UnitCost_NGN]]</f>
        <v>665000</v>
      </c>
      <c r="T208" s="3">
        <f>Table13[[#This Row],[NetRevenue]]-Table13[[#This Row],[TotalCost]]</f>
        <v>145000</v>
      </c>
      <c r="U208" s="3"/>
    </row>
    <row r="209" spans="1:21" x14ac:dyDescent="0.25">
      <c r="A209" t="s">
        <v>459</v>
      </c>
      <c r="B209" s="20">
        <v>45887</v>
      </c>
      <c r="C209" t="s">
        <v>40</v>
      </c>
      <c r="D209" t="s">
        <v>136</v>
      </c>
      <c r="E209" t="s">
        <v>137</v>
      </c>
      <c r="F209" t="s">
        <v>122</v>
      </c>
      <c r="G209" t="s">
        <v>22</v>
      </c>
      <c r="H209" t="s">
        <v>23</v>
      </c>
      <c r="I209" t="s">
        <v>24</v>
      </c>
      <c r="J209" t="s">
        <v>25</v>
      </c>
      <c r="K209">
        <v>5</v>
      </c>
      <c r="L209" s="3">
        <v>22000</v>
      </c>
      <c r="M209" s="3">
        <v>13000</v>
      </c>
      <c r="N209">
        <v>0.05</v>
      </c>
      <c r="O209" t="s">
        <v>90</v>
      </c>
      <c r="P209" t="s">
        <v>72</v>
      </c>
      <c r="Q209" s="3">
        <f>Table13[[#This Row],[Quantity]]*Table13[[#This Row],[UnitPrice_NGN]]</f>
        <v>110000</v>
      </c>
      <c r="R209" s="9">
        <f>Table13[[#This Row],[GrossRevenue]]*(1-Table13[[#This Row],[DiscountRate]])</f>
        <v>104500</v>
      </c>
      <c r="S209" s="3">
        <f>Table13[[#This Row],[Quantity]]*Table13[[#This Row],[UnitCost_NGN]]</f>
        <v>65000</v>
      </c>
      <c r="T209" s="3">
        <f>Table13[[#This Row],[NetRevenue]]-Table13[[#This Row],[TotalCost]]</f>
        <v>39500</v>
      </c>
      <c r="U209" s="3"/>
    </row>
    <row r="210" spans="1:21" x14ac:dyDescent="0.25">
      <c r="A210" t="s">
        <v>461</v>
      </c>
      <c r="B210" s="20">
        <v>45723</v>
      </c>
      <c r="C210" t="s">
        <v>18</v>
      </c>
      <c r="D210" t="s">
        <v>88</v>
      </c>
      <c r="E210" t="s">
        <v>89</v>
      </c>
      <c r="F210" t="s">
        <v>43</v>
      </c>
      <c r="G210" t="s">
        <v>22</v>
      </c>
      <c r="H210" t="s">
        <v>96</v>
      </c>
      <c r="I210" t="s">
        <v>24</v>
      </c>
      <c r="J210" t="s">
        <v>25</v>
      </c>
      <c r="K210">
        <v>1</v>
      </c>
      <c r="L210" s="3">
        <v>22000</v>
      </c>
      <c r="M210" s="3">
        <v>13650</v>
      </c>
      <c r="N210">
        <v>0.1</v>
      </c>
      <c r="O210" t="s">
        <v>57</v>
      </c>
      <c r="P210" t="s">
        <v>27</v>
      </c>
      <c r="Q210" s="3">
        <f>Table13[[#This Row],[Quantity]]*Table13[[#This Row],[UnitPrice_NGN]]</f>
        <v>22000</v>
      </c>
      <c r="R210" s="9">
        <f>Table13[[#This Row],[GrossRevenue]]*(1-Table13[[#This Row],[DiscountRate]])</f>
        <v>19800</v>
      </c>
      <c r="S210" s="3">
        <f>Table13[[#This Row],[Quantity]]*Table13[[#This Row],[UnitCost_NGN]]</f>
        <v>13650</v>
      </c>
      <c r="T210" s="3">
        <f>Table13[[#This Row],[NetRevenue]]-Table13[[#This Row],[TotalCost]]</f>
        <v>6150</v>
      </c>
      <c r="U210" s="3"/>
    </row>
    <row r="211" spans="1:21" x14ac:dyDescent="0.25">
      <c r="A211" t="s">
        <v>462</v>
      </c>
      <c r="B211" s="20">
        <v>45784</v>
      </c>
      <c r="C211" t="s">
        <v>40</v>
      </c>
      <c r="D211" t="s">
        <v>120</v>
      </c>
      <c r="E211" t="s">
        <v>121</v>
      </c>
      <c r="F211" t="s">
        <v>122</v>
      </c>
      <c r="G211" t="s">
        <v>44</v>
      </c>
      <c r="H211" t="s">
        <v>63</v>
      </c>
      <c r="I211" t="s">
        <v>97</v>
      </c>
      <c r="J211" t="s">
        <v>56</v>
      </c>
      <c r="K211">
        <v>5</v>
      </c>
      <c r="L211" s="3">
        <v>125000</v>
      </c>
      <c r="M211" s="3">
        <v>89250</v>
      </c>
      <c r="N211">
        <v>0</v>
      </c>
      <c r="O211" t="s">
        <v>64</v>
      </c>
      <c r="P211" t="s">
        <v>72</v>
      </c>
      <c r="Q211" s="3">
        <f>Table13[[#This Row],[Quantity]]*Table13[[#This Row],[UnitPrice_NGN]]</f>
        <v>625000</v>
      </c>
      <c r="R211" s="9">
        <f>Table13[[#This Row],[GrossRevenue]]*(1-Table13[[#This Row],[DiscountRate]])</f>
        <v>625000</v>
      </c>
      <c r="S211" s="3">
        <f>Table13[[#This Row],[Quantity]]*Table13[[#This Row],[UnitCost_NGN]]</f>
        <v>446250</v>
      </c>
      <c r="T211" s="3">
        <f>Table13[[#This Row],[NetRevenue]]-Table13[[#This Row],[TotalCost]]</f>
        <v>178750</v>
      </c>
      <c r="U211" s="3"/>
    </row>
    <row r="212" spans="1:21" x14ac:dyDescent="0.25">
      <c r="A212" t="s">
        <v>463</v>
      </c>
      <c r="B212" s="20">
        <v>45666</v>
      </c>
      <c r="C212" t="s">
        <v>18</v>
      </c>
      <c r="D212" t="s">
        <v>19</v>
      </c>
      <c r="E212" t="s">
        <v>20</v>
      </c>
      <c r="F212" t="s">
        <v>21</v>
      </c>
      <c r="G212" t="s">
        <v>22</v>
      </c>
      <c r="H212" t="s">
        <v>96</v>
      </c>
      <c r="I212" t="s">
        <v>102</v>
      </c>
      <c r="J212" t="s">
        <v>25</v>
      </c>
      <c r="K212">
        <v>1</v>
      </c>
      <c r="L212" s="3">
        <v>44100</v>
      </c>
      <c r="M212" s="3">
        <v>27300</v>
      </c>
      <c r="N212">
        <v>0.1</v>
      </c>
      <c r="O212" t="s">
        <v>148</v>
      </c>
      <c r="P212" t="s">
        <v>48</v>
      </c>
      <c r="Q212" s="3">
        <f>Table13[[#This Row],[Quantity]]*Table13[[#This Row],[UnitPrice_NGN]]</f>
        <v>44100</v>
      </c>
      <c r="R212" s="9">
        <f>Table13[[#This Row],[GrossRevenue]]*(1-Table13[[#This Row],[DiscountRate]])</f>
        <v>39690</v>
      </c>
      <c r="S212" s="3">
        <f>Table13[[#This Row],[Quantity]]*Table13[[#This Row],[UnitCost_NGN]]</f>
        <v>27300</v>
      </c>
      <c r="T212" s="3">
        <f>Table13[[#This Row],[NetRevenue]]-Table13[[#This Row],[TotalCost]]</f>
        <v>12390</v>
      </c>
      <c r="U212" s="3"/>
    </row>
    <row r="213" spans="1:21" x14ac:dyDescent="0.25">
      <c r="A213" t="s">
        <v>464</v>
      </c>
      <c r="B213" s="20">
        <v>45680</v>
      </c>
      <c r="C213" t="s">
        <v>40</v>
      </c>
      <c r="D213" t="s">
        <v>131</v>
      </c>
      <c r="E213" t="s">
        <v>132</v>
      </c>
      <c r="F213" t="s">
        <v>80</v>
      </c>
      <c r="G213" t="s">
        <v>44</v>
      </c>
      <c r="H213" t="s">
        <v>23</v>
      </c>
      <c r="I213" t="s">
        <v>97</v>
      </c>
      <c r="J213" t="s">
        <v>56</v>
      </c>
      <c r="K213">
        <v>5</v>
      </c>
      <c r="L213" s="3">
        <v>137500</v>
      </c>
      <c r="M213" s="3">
        <v>80750</v>
      </c>
      <c r="N213">
        <v>0</v>
      </c>
      <c r="O213" t="s">
        <v>64</v>
      </c>
      <c r="P213" t="s">
        <v>72</v>
      </c>
      <c r="Q213" s="3">
        <f>Table13[[#This Row],[Quantity]]*Table13[[#This Row],[UnitPrice_NGN]]</f>
        <v>687500</v>
      </c>
      <c r="R213" s="9">
        <f>Table13[[#This Row],[GrossRevenue]]*(1-Table13[[#This Row],[DiscountRate]])</f>
        <v>687500</v>
      </c>
      <c r="S213" s="3">
        <f>Table13[[#This Row],[Quantity]]*Table13[[#This Row],[UnitCost_NGN]]</f>
        <v>403750</v>
      </c>
      <c r="T213" s="3">
        <f>Table13[[#This Row],[NetRevenue]]-Table13[[#This Row],[TotalCost]]</f>
        <v>283750</v>
      </c>
      <c r="U213" s="3"/>
    </row>
    <row r="214" spans="1:21" x14ac:dyDescent="0.25">
      <c r="A214" t="s">
        <v>466</v>
      </c>
      <c r="B214" s="20">
        <v>45952</v>
      </c>
      <c r="C214" t="s">
        <v>30</v>
      </c>
      <c r="D214" t="s">
        <v>157</v>
      </c>
      <c r="E214" t="s">
        <v>158</v>
      </c>
      <c r="F214" t="s">
        <v>21</v>
      </c>
      <c r="G214" t="s">
        <v>62</v>
      </c>
      <c r="H214" t="s">
        <v>34</v>
      </c>
      <c r="I214" t="s">
        <v>35</v>
      </c>
      <c r="J214" t="s">
        <v>36</v>
      </c>
      <c r="K214">
        <v>3</v>
      </c>
      <c r="L214" s="3">
        <v>450000</v>
      </c>
      <c r="M214" s="3">
        <v>350000</v>
      </c>
      <c r="N214">
        <v>0.15</v>
      </c>
      <c r="O214" t="s">
        <v>57</v>
      </c>
      <c r="P214" t="s">
        <v>48</v>
      </c>
      <c r="Q214" s="3">
        <f>Table13[[#This Row],[Quantity]]*Table13[[#This Row],[UnitPrice_NGN]]</f>
        <v>1350000</v>
      </c>
      <c r="R214" s="9">
        <f>Table13[[#This Row],[GrossRevenue]]*(1-Table13[[#This Row],[DiscountRate]])</f>
        <v>1147500</v>
      </c>
      <c r="S214" s="3">
        <f>Table13[[#This Row],[Quantity]]*Table13[[#This Row],[UnitCost_NGN]]</f>
        <v>1050000</v>
      </c>
      <c r="T214" s="3">
        <f>Table13[[#This Row],[NetRevenue]]-Table13[[#This Row],[TotalCost]]</f>
        <v>97500</v>
      </c>
      <c r="U214" s="3"/>
    </row>
    <row r="215" spans="1:21" x14ac:dyDescent="0.25">
      <c r="A215" t="s">
        <v>467</v>
      </c>
      <c r="B215" s="20">
        <v>45689</v>
      </c>
      <c r="C215" t="s">
        <v>30</v>
      </c>
      <c r="D215" t="s">
        <v>120</v>
      </c>
      <c r="E215" t="s">
        <v>121</v>
      </c>
      <c r="F215" t="s">
        <v>122</v>
      </c>
      <c r="G215" t="s">
        <v>44</v>
      </c>
      <c r="H215" t="s">
        <v>112</v>
      </c>
      <c r="I215" t="s">
        <v>75</v>
      </c>
      <c r="J215" t="s">
        <v>36</v>
      </c>
      <c r="K215">
        <v>4</v>
      </c>
      <c r="L215" s="3">
        <v>180000</v>
      </c>
      <c r="M215" s="3">
        <v>130000</v>
      </c>
      <c r="N215">
        <v>0</v>
      </c>
      <c r="O215" t="s">
        <v>37</v>
      </c>
      <c r="P215" t="s">
        <v>133</v>
      </c>
      <c r="Q215" s="3">
        <f>Table13[[#This Row],[Quantity]]*Table13[[#This Row],[UnitPrice_NGN]]</f>
        <v>720000</v>
      </c>
      <c r="R215" s="9">
        <f>Table13[[#This Row],[GrossRevenue]]*(1-Table13[[#This Row],[DiscountRate]])</f>
        <v>720000</v>
      </c>
      <c r="S215" s="3">
        <f>Table13[[#This Row],[Quantity]]*Table13[[#This Row],[UnitCost_NGN]]</f>
        <v>520000</v>
      </c>
      <c r="T215" s="3">
        <f>Table13[[#This Row],[NetRevenue]]-Table13[[#This Row],[TotalCost]]</f>
        <v>200000</v>
      </c>
      <c r="U215" s="3"/>
    </row>
    <row r="216" spans="1:21" x14ac:dyDescent="0.25">
      <c r="A216" t="s">
        <v>469</v>
      </c>
      <c r="B216" s="20">
        <v>45821</v>
      </c>
      <c r="C216" t="s">
        <v>40</v>
      </c>
      <c r="D216" t="s">
        <v>88</v>
      </c>
      <c r="E216" t="s">
        <v>89</v>
      </c>
      <c r="F216" t="s">
        <v>43</v>
      </c>
      <c r="G216" t="s">
        <v>33</v>
      </c>
      <c r="H216" t="s">
        <v>34</v>
      </c>
      <c r="I216" t="s">
        <v>35</v>
      </c>
      <c r="J216" t="s">
        <v>36</v>
      </c>
      <c r="K216">
        <v>12</v>
      </c>
      <c r="L216" s="3">
        <v>472500</v>
      </c>
      <c r="M216" s="3">
        <v>367500</v>
      </c>
      <c r="N216">
        <v>0.1</v>
      </c>
      <c r="O216" t="s">
        <v>57</v>
      </c>
      <c r="P216" t="s">
        <v>27</v>
      </c>
      <c r="Q216" s="3">
        <f>Table13[[#This Row],[Quantity]]*Table13[[#This Row],[UnitPrice_NGN]]</f>
        <v>5670000</v>
      </c>
      <c r="R216" s="9">
        <f>Table13[[#This Row],[GrossRevenue]]*(1-Table13[[#This Row],[DiscountRate]])</f>
        <v>5103000</v>
      </c>
      <c r="S216" s="3">
        <f>Table13[[#This Row],[Quantity]]*Table13[[#This Row],[UnitCost_NGN]]</f>
        <v>4410000</v>
      </c>
      <c r="T216" s="3">
        <f>Table13[[#This Row],[NetRevenue]]-Table13[[#This Row],[TotalCost]]</f>
        <v>693000</v>
      </c>
      <c r="U216" s="3"/>
    </row>
    <row r="217" spans="1:21" x14ac:dyDescent="0.25">
      <c r="A217" t="s">
        <v>470</v>
      </c>
      <c r="B217" s="20">
        <v>45811</v>
      </c>
      <c r="C217" t="s">
        <v>18</v>
      </c>
      <c r="D217" t="s">
        <v>157</v>
      </c>
      <c r="E217" t="s">
        <v>158</v>
      </c>
      <c r="F217" t="s">
        <v>21</v>
      </c>
      <c r="G217" t="s">
        <v>33</v>
      </c>
      <c r="H217" t="s">
        <v>96</v>
      </c>
      <c r="I217" t="s">
        <v>55</v>
      </c>
      <c r="J217" t="s">
        <v>56</v>
      </c>
      <c r="K217">
        <v>6</v>
      </c>
      <c r="L217" s="3">
        <v>48000</v>
      </c>
      <c r="M217" s="3">
        <v>30000</v>
      </c>
      <c r="N217">
        <v>0</v>
      </c>
      <c r="O217" t="s">
        <v>26</v>
      </c>
      <c r="P217" t="s">
        <v>27</v>
      </c>
      <c r="Q217" s="3">
        <f>Table13[[#This Row],[Quantity]]*Table13[[#This Row],[UnitPrice_NGN]]</f>
        <v>288000</v>
      </c>
      <c r="R217" s="9">
        <f>Table13[[#This Row],[GrossRevenue]]*(1-Table13[[#This Row],[DiscountRate]])</f>
        <v>288000</v>
      </c>
      <c r="S217" s="3">
        <f>Table13[[#This Row],[Quantity]]*Table13[[#This Row],[UnitCost_NGN]]</f>
        <v>180000</v>
      </c>
      <c r="T217" s="3">
        <f>Table13[[#This Row],[NetRevenue]]-Table13[[#This Row],[TotalCost]]</f>
        <v>108000</v>
      </c>
      <c r="U217" s="3"/>
    </row>
    <row r="218" spans="1:21" x14ac:dyDescent="0.25">
      <c r="A218" t="s">
        <v>472</v>
      </c>
      <c r="B218" s="20">
        <v>45762</v>
      </c>
      <c r="C218" t="s">
        <v>30</v>
      </c>
      <c r="D218" t="s">
        <v>78</v>
      </c>
      <c r="E218" t="s">
        <v>79</v>
      </c>
      <c r="F218" t="s">
        <v>80</v>
      </c>
      <c r="G218" t="s">
        <v>22</v>
      </c>
      <c r="H218" t="s">
        <v>112</v>
      </c>
      <c r="I218" t="s">
        <v>55</v>
      </c>
      <c r="J218" t="s">
        <v>56</v>
      </c>
      <c r="K218">
        <v>4</v>
      </c>
      <c r="L218" s="3">
        <v>48000</v>
      </c>
      <c r="M218" s="3">
        <v>30000</v>
      </c>
      <c r="N218">
        <v>0</v>
      </c>
      <c r="O218" t="s">
        <v>47</v>
      </c>
      <c r="P218" t="s">
        <v>48</v>
      </c>
      <c r="Q218" s="3">
        <f>Table13[[#This Row],[Quantity]]*Table13[[#This Row],[UnitPrice_NGN]]</f>
        <v>192000</v>
      </c>
      <c r="R218" s="9">
        <f>Table13[[#This Row],[GrossRevenue]]*(1-Table13[[#This Row],[DiscountRate]])</f>
        <v>192000</v>
      </c>
      <c r="S218" s="3">
        <f>Table13[[#This Row],[Quantity]]*Table13[[#This Row],[UnitCost_NGN]]</f>
        <v>120000</v>
      </c>
      <c r="T218" s="3">
        <f>Table13[[#This Row],[NetRevenue]]-Table13[[#This Row],[TotalCost]]</f>
        <v>72000</v>
      </c>
      <c r="U218" s="3"/>
    </row>
    <row r="219" spans="1:21" x14ac:dyDescent="0.25">
      <c r="A219" t="s">
        <v>474</v>
      </c>
      <c r="B219" s="20">
        <v>45851</v>
      </c>
      <c r="C219" t="s">
        <v>30</v>
      </c>
      <c r="D219" t="s">
        <v>78</v>
      </c>
      <c r="E219" t="s">
        <v>79</v>
      </c>
      <c r="F219" t="s">
        <v>80</v>
      </c>
      <c r="G219" t="s">
        <v>22</v>
      </c>
      <c r="H219" t="s">
        <v>96</v>
      </c>
      <c r="I219" t="s">
        <v>51</v>
      </c>
      <c r="J219" t="s">
        <v>36</v>
      </c>
      <c r="K219">
        <v>5</v>
      </c>
      <c r="L219" s="3">
        <v>266000</v>
      </c>
      <c r="M219" s="3">
        <v>199500</v>
      </c>
      <c r="N219">
        <v>0</v>
      </c>
      <c r="O219" t="s">
        <v>64</v>
      </c>
      <c r="P219" t="s">
        <v>27</v>
      </c>
      <c r="Q219" s="3">
        <f>Table13[[#This Row],[Quantity]]*Table13[[#This Row],[UnitPrice_NGN]]</f>
        <v>1330000</v>
      </c>
      <c r="R219" s="9">
        <f>Table13[[#This Row],[GrossRevenue]]*(1-Table13[[#This Row],[DiscountRate]])</f>
        <v>1330000</v>
      </c>
      <c r="S219" s="3">
        <f>Table13[[#This Row],[Quantity]]*Table13[[#This Row],[UnitCost_NGN]]</f>
        <v>997500</v>
      </c>
      <c r="T219" s="3">
        <f>Table13[[#This Row],[NetRevenue]]-Table13[[#This Row],[TotalCost]]</f>
        <v>332500</v>
      </c>
      <c r="U219" s="3"/>
    </row>
    <row r="220" spans="1:21" x14ac:dyDescent="0.25">
      <c r="A220" t="s">
        <v>476</v>
      </c>
      <c r="B220" s="20">
        <v>45828</v>
      </c>
      <c r="C220" t="s">
        <v>18</v>
      </c>
      <c r="D220" t="s">
        <v>136</v>
      </c>
      <c r="E220" t="s">
        <v>137</v>
      </c>
      <c r="F220" t="s">
        <v>122</v>
      </c>
      <c r="G220" t="s">
        <v>44</v>
      </c>
      <c r="H220" t="s">
        <v>34</v>
      </c>
      <c r="I220" t="s">
        <v>45</v>
      </c>
      <c r="J220" t="s">
        <v>46</v>
      </c>
      <c r="K220">
        <v>5</v>
      </c>
      <c r="L220" s="3">
        <v>17575</v>
      </c>
      <c r="M220" s="3">
        <v>15225</v>
      </c>
      <c r="N220">
        <v>0</v>
      </c>
      <c r="O220" t="s">
        <v>52</v>
      </c>
      <c r="P220" t="s">
        <v>48</v>
      </c>
      <c r="Q220" s="3">
        <f>Table13[[#This Row],[Quantity]]*Table13[[#This Row],[UnitPrice_NGN]]</f>
        <v>87875</v>
      </c>
      <c r="R220" s="9">
        <f>Table13[[#This Row],[GrossRevenue]]*(1-Table13[[#This Row],[DiscountRate]])</f>
        <v>87875</v>
      </c>
      <c r="S220" s="3">
        <f>Table13[[#This Row],[Quantity]]*Table13[[#This Row],[UnitCost_NGN]]</f>
        <v>76125</v>
      </c>
      <c r="T220" s="3">
        <f>Table13[[#This Row],[NetRevenue]]-Table13[[#This Row],[TotalCost]]</f>
        <v>11750</v>
      </c>
      <c r="U220" s="3"/>
    </row>
    <row r="221" spans="1:21" x14ac:dyDescent="0.25">
      <c r="A221" t="s">
        <v>478</v>
      </c>
      <c r="B221" s="20">
        <v>45780</v>
      </c>
      <c r="C221" t="s">
        <v>40</v>
      </c>
      <c r="D221" t="s">
        <v>110</v>
      </c>
      <c r="E221" t="s">
        <v>111</v>
      </c>
      <c r="F221" t="s">
        <v>85</v>
      </c>
      <c r="G221" t="s">
        <v>62</v>
      </c>
      <c r="H221" t="s">
        <v>112</v>
      </c>
      <c r="I221" t="s">
        <v>102</v>
      </c>
      <c r="J221" t="s">
        <v>25</v>
      </c>
      <c r="K221">
        <v>3</v>
      </c>
      <c r="L221" s="3">
        <v>44100</v>
      </c>
      <c r="M221" s="3">
        <v>26000</v>
      </c>
      <c r="N221">
        <v>0.05</v>
      </c>
      <c r="O221" t="s">
        <v>37</v>
      </c>
      <c r="P221" t="s">
        <v>133</v>
      </c>
      <c r="Q221" s="3">
        <f>Table13[[#This Row],[Quantity]]*Table13[[#This Row],[UnitPrice_NGN]]</f>
        <v>132300</v>
      </c>
      <c r="R221" s="9">
        <f>Table13[[#This Row],[GrossRevenue]]*(1-Table13[[#This Row],[DiscountRate]])</f>
        <v>125685</v>
      </c>
      <c r="S221" s="3">
        <f>Table13[[#This Row],[Quantity]]*Table13[[#This Row],[UnitCost_NGN]]</f>
        <v>78000</v>
      </c>
      <c r="T221" s="3">
        <f>Table13[[#This Row],[NetRevenue]]-Table13[[#This Row],[TotalCost]]</f>
        <v>47685</v>
      </c>
      <c r="U221" s="3"/>
    </row>
    <row r="222" spans="1:21" x14ac:dyDescent="0.25">
      <c r="A222" t="s">
        <v>481</v>
      </c>
      <c r="B222" s="20">
        <v>45912</v>
      </c>
      <c r="C222" t="s">
        <v>18</v>
      </c>
      <c r="D222" t="s">
        <v>120</v>
      </c>
      <c r="E222" t="s">
        <v>121</v>
      </c>
      <c r="F222" t="s">
        <v>122</v>
      </c>
      <c r="G222" t="s">
        <v>33</v>
      </c>
      <c r="H222" t="s">
        <v>63</v>
      </c>
      <c r="I222" t="s">
        <v>93</v>
      </c>
      <c r="J222" t="s">
        <v>46</v>
      </c>
      <c r="K222">
        <v>2</v>
      </c>
      <c r="L222" s="3">
        <v>95000</v>
      </c>
      <c r="M222" s="3">
        <v>82000</v>
      </c>
      <c r="N222">
        <v>0.1</v>
      </c>
      <c r="O222" t="s">
        <v>64</v>
      </c>
      <c r="P222" t="s">
        <v>72</v>
      </c>
      <c r="Q222" s="3">
        <f>Table13[[#This Row],[Quantity]]*Table13[[#This Row],[UnitPrice_NGN]]</f>
        <v>190000</v>
      </c>
      <c r="R222" s="9">
        <f>Table13[[#This Row],[GrossRevenue]]*(1-Table13[[#This Row],[DiscountRate]])</f>
        <v>171000</v>
      </c>
      <c r="S222" s="3">
        <f>Table13[[#This Row],[Quantity]]*Table13[[#This Row],[UnitCost_NGN]]</f>
        <v>164000</v>
      </c>
      <c r="T222" s="3">
        <f>Table13[[#This Row],[NetRevenue]]-Table13[[#This Row],[TotalCost]]</f>
        <v>7000</v>
      </c>
      <c r="U222" s="3"/>
    </row>
    <row r="223" spans="1:21" x14ac:dyDescent="0.25">
      <c r="A223" t="s">
        <v>482</v>
      </c>
      <c r="B223" s="20">
        <v>45732</v>
      </c>
      <c r="C223" t="s">
        <v>40</v>
      </c>
      <c r="D223" t="s">
        <v>88</v>
      </c>
      <c r="E223" t="s">
        <v>89</v>
      </c>
      <c r="F223" t="s">
        <v>43</v>
      </c>
      <c r="G223" t="s">
        <v>33</v>
      </c>
      <c r="H223" t="s">
        <v>63</v>
      </c>
      <c r="I223" t="s">
        <v>105</v>
      </c>
      <c r="J223" t="s">
        <v>71</v>
      </c>
      <c r="K223">
        <v>3</v>
      </c>
      <c r="L223" s="3">
        <v>175000</v>
      </c>
      <c r="M223" s="3">
        <v>120000</v>
      </c>
      <c r="N223">
        <v>0.15</v>
      </c>
      <c r="O223" t="s">
        <v>90</v>
      </c>
      <c r="P223" t="s">
        <v>48</v>
      </c>
      <c r="Q223" s="3">
        <f>Table13[[#This Row],[Quantity]]*Table13[[#This Row],[UnitPrice_NGN]]</f>
        <v>525000</v>
      </c>
      <c r="R223" s="9">
        <f>Table13[[#This Row],[GrossRevenue]]*(1-Table13[[#This Row],[DiscountRate]])</f>
        <v>446250</v>
      </c>
      <c r="S223" s="3">
        <f>Table13[[#This Row],[Quantity]]*Table13[[#This Row],[UnitCost_NGN]]</f>
        <v>360000</v>
      </c>
      <c r="T223" s="3">
        <f>Table13[[#This Row],[NetRevenue]]-Table13[[#This Row],[TotalCost]]</f>
        <v>86250</v>
      </c>
      <c r="U223" s="3"/>
    </row>
    <row r="224" spans="1:21" x14ac:dyDescent="0.25">
      <c r="A224" t="s">
        <v>483</v>
      </c>
      <c r="B224" s="20">
        <v>45939</v>
      </c>
      <c r="C224" t="s">
        <v>30</v>
      </c>
      <c r="D224" t="s">
        <v>88</v>
      </c>
      <c r="E224" t="s">
        <v>89</v>
      </c>
      <c r="F224" t="s">
        <v>43</v>
      </c>
      <c r="G224" t="s">
        <v>62</v>
      </c>
      <c r="H224" t="s">
        <v>63</v>
      </c>
      <c r="I224" t="s">
        <v>113</v>
      </c>
      <c r="J224" t="s">
        <v>36</v>
      </c>
      <c r="K224">
        <v>2</v>
      </c>
      <c r="L224" s="3">
        <v>160000</v>
      </c>
      <c r="M224" s="3">
        <v>115000</v>
      </c>
      <c r="N224">
        <v>0.05</v>
      </c>
      <c r="O224" t="s">
        <v>37</v>
      </c>
      <c r="P224" t="s">
        <v>27</v>
      </c>
      <c r="Q224" s="3">
        <f>Table13[[#This Row],[Quantity]]*Table13[[#This Row],[UnitPrice_NGN]]</f>
        <v>320000</v>
      </c>
      <c r="R224" s="9">
        <f>Table13[[#This Row],[GrossRevenue]]*(1-Table13[[#This Row],[DiscountRate]])</f>
        <v>304000</v>
      </c>
      <c r="S224" s="3">
        <f>Table13[[#This Row],[Quantity]]*Table13[[#This Row],[UnitCost_NGN]]</f>
        <v>230000</v>
      </c>
      <c r="T224" s="3">
        <f>Table13[[#This Row],[NetRevenue]]-Table13[[#This Row],[TotalCost]]</f>
        <v>74000</v>
      </c>
      <c r="U224" s="3"/>
    </row>
    <row r="225" spans="1:21" x14ac:dyDescent="0.25">
      <c r="A225" t="s">
        <v>484</v>
      </c>
      <c r="B225" s="20">
        <v>45838</v>
      </c>
      <c r="C225" t="s">
        <v>18</v>
      </c>
      <c r="D225" t="s">
        <v>120</v>
      </c>
      <c r="E225" t="s">
        <v>121</v>
      </c>
      <c r="F225" t="s">
        <v>122</v>
      </c>
      <c r="G225" t="s">
        <v>33</v>
      </c>
      <c r="H225" t="s">
        <v>34</v>
      </c>
      <c r="I225" t="s">
        <v>102</v>
      </c>
      <c r="J225" t="s">
        <v>25</v>
      </c>
      <c r="K225">
        <v>5</v>
      </c>
      <c r="L225" s="3">
        <v>42000</v>
      </c>
      <c r="M225" s="3">
        <v>26000</v>
      </c>
      <c r="N225">
        <v>0.15</v>
      </c>
      <c r="O225" t="s">
        <v>148</v>
      </c>
      <c r="P225" t="s">
        <v>48</v>
      </c>
      <c r="Q225" s="3">
        <f>Table13[[#This Row],[Quantity]]*Table13[[#This Row],[UnitPrice_NGN]]</f>
        <v>210000</v>
      </c>
      <c r="R225" s="9">
        <f>Table13[[#This Row],[GrossRevenue]]*(1-Table13[[#This Row],[DiscountRate]])</f>
        <v>178500</v>
      </c>
      <c r="S225" s="3">
        <f>Table13[[#This Row],[Quantity]]*Table13[[#This Row],[UnitCost_NGN]]</f>
        <v>130000</v>
      </c>
      <c r="T225" s="3">
        <f>Table13[[#This Row],[NetRevenue]]-Table13[[#This Row],[TotalCost]]</f>
        <v>48500</v>
      </c>
      <c r="U225" s="3"/>
    </row>
    <row r="226" spans="1:21" x14ac:dyDescent="0.25">
      <c r="A226" t="s">
        <v>485</v>
      </c>
      <c r="B226" s="20">
        <v>45869</v>
      </c>
      <c r="C226" t="s">
        <v>30</v>
      </c>
      <c r="D226" t="s">
        <v>31</v>
      </c>
      <c r="E226" t="s">
        <v>32</v>
      </c>
      <c r="F226" t="s">
        <v>21</v>
      </c>
      <c r="G226" t="s">
        <v>44</v>
      </c>
      <c r="H226" t="s">
        <v>96</v>
      </c>
      <c r="I226" t="s">
        <v>93</v>
      </c>
      <c r="J226" t="s">
        <v>46</v>
      </c>
      <c r="K226">
        <v>8</v>
      </c>
      <c r="L226" s="3">
        <v>85500</v>
      </c>
      <c r="M226" s="3">
        <v>77900</v>
      </c>
      <c r="N226">
        <v>0</v>
      </c>
      <c r="O226" t="s">
        <v>90</v>
      </c>
      <c r="P226" t="s">
        <v>48</v>
      </c>
      <c r="Q226" s="3">
        <f>Table13[[#This Row],[Quantity]]*Table13[[#This Row],[UnitPrice_NGN]]</f>
        <v>684000</v>
      </c>
      <c r="R226" s="9">
        <f>Table13[[#This Row],[GrossRevenue]]*(1-Table13[[#This Row],[DiscountRate]])</f>
        <v>684000</v>
      </c>
      <c r="S226" s="3">
        <f>Table13[[#This Row],[Quantity]]*Table13[[#This Row],[UnitCost_NGN]]</f>
        <v>623200</v>
      </c>
      <c r="T226" s="3">
        <f>Table13[[#This Row],[NetRevenue]]-Table13[[#This Row],[TotalCost]]</f>
        <v>60800</v>
      </c>
      <c r="U226" s="3"/>
    </row>
    <row r="227" spans="1:21" x14ac:dyDescent="0.25">
      <c r="A227" t="s">
        <v>486</v>
      </c>
      <c r="B227" s="20">
        <v>45984</v>
      </c>
      <c r="C227" t="s">
        <v>30</v>
      </c>
      <c r="D227" t="s">
        <v>60</v>
      </c>
      <c r="E227" t="s">
        <v>61</v>
      </c>
      <c r="F227" t="s">
        <v>43</v>
      </c>
      <c r="G227" t="s">
        <v>33</v>
      </c>
      <c r="H227" t="s">
        <v>112</v>
      </c>
      <c r="I227" t="s">
        <v>35</v>
      </c>
      <c r="J227" t="s">
        <v>36</v>
      </c>
      <c r="K227">
        <v>3</v>
      </c>
      <c r="L227" s="3">
        <v>450000</v>
      </c>
      <c r="M227" s="3">
        <v>332500</v>
      </c>
      <c r="N227">
        <v>0.1</v>
      </c>
      <c r="O227" t="s">
        <v>148</v>
      </c>
      <c r="P227" t="s">
        <v>27</v>
      </c>
      <c r="Q227" s="3">
        <f>Table13[[#This Row],[Quantity]]*Table13[[#This Row],[UnitPrice_NGN]]</f>
        <v>1350000</v>
      </c>
      <c r="R227" s="9">
        <f>Table13[[#This Row],[GrossRevenue]]*(1-Table13[[#This Row],[DiscountRate]])</f>
        <v>1215000</v>
      </c>
      <c r="S227" s="3">
        <f>Table13[[#This Row],[Quantity]]*Table13[[#This Row],[UnitCost_NGN]]</f>
        <v>997500</v>
      </c>
      <c r="T227" s="3">
        <f>Table13[[#This Row],[NetRevenue]]-Table13[[#This Row],[TotalCost]]</f>
        <v>217500</v>
      </c>
      <c r="U227" s="3"/>
    </row>
    <row r="228" spans="1:21" x14ac:dyDescent="0.25">
      <c r="A228" t="s">
        <v>487</v>
      </c>
      <c r="B228" s="20">
        <v>45798</v>
      </c>
      <c r="C228" t="s">
        <v>40</v>
      </c>
      <c r="D228" t="s">
        <v>78</v>
      </c>
      <c r="E228" t="s">
        <v>79</v>
      </c>
      <c r="F228" t="s">
        <v>80</v>
      </c>
      <c r="G228" t="s">
        <v>22</v>
      </c>
      <c r="H228" t="s">
        <v>23</v>
      </c>
      <c r="I228" t="s">
        <v>35</v>
      </c>
      <c r="J228" t="s">
        <v>36</v>
      </c>
      <c r="K228">
        <v>4</v>
      </c>
      <c r="L228" s="3">
        <v>405000</v>
      </c>
      <c r="M228" s="3">
        <v>332500</v>
      </c>
      <c r="N228">
        <v>0.1</v>
      </c>
      <c r="O228" t="s">
        <v>26</v>
      </c>
      <c r="P228" t="s">
        <v>133</v>
      </c>
      <c r="Q228" s="3">
        <f>Table13[[#This Row],[Quantity]]*Table13[[#This Row],[UnitPrice_NGN]]</f>
        <v>1620000</v>
      </c>
      <c r="R228" s="9">
        <f>Table13[[#This Row],[GrossRevenue]]*(1-Table13[[#This Row],[DiscountRate]])</f>
        <v>1458000</v>
      </c>
      <c r="S228" s="3">
        <f>Table13[[#This Row],[Quantity]]*Table13[[#This Row],[UnitCost_NGN]]</f>
        <v>1330000</v>
      </c>
      <c r="T228" s="3">
        <f>Table13[[#This Row],[NetRevenue]]-Table13[[#This Row],[TotalCost]]</f>
        <v>128000</v>
      </c>
      <c r="U228" s="3"/>
    </row>
    <row r="229" spans="1:21" x14ac:dyDescent="0.25">
      <c r="A229" t="s">
        <v>488</v>
      </c>
      <c r="B229" s="20">
        <v>45756</v>
      </c>
      <c r="C229" t="s">
        <v>30</v>
      </c>
      <c r="D229" t="s">
        <v>19</v>
      </c>
      <c r="E229" t="s">
        <v>20</v>
      </c>
      <c r="F229" t="s">
        <v>21</v>
      </c>
      <c r="G229" t="s">
        <v>62</v>
      </c>
      <c r="H229" t="s">
        <v>63</v>
      </c>
      <c r="I229" t="s">
        <v>75</v>
      </c>
      <c r="J229" t="s">
        <v>36</v>
      </c>
      <c r="K229">
        <v>10</v>
      </c>
      <c r="L229" s="3">
        <v>180000</v>
      </c>
      <c r="M229" s="3">
        <v>130000</v>
      </c>
      <c r="N229">
        <v>0</v>
      </c>
      <c r="O229" t="s">
        <v>57</v>
      </c>
      <c r="P229" t="s">
        <v>133</v>
      </c>
      <c r="Q229" s="3">
        <f>Table13[[#This Row],[Quantity]]*Table13[[#This Row],[UnitPrice_NGN]]</f>
        <v>1800000</v>
      </c>
      <c r="R229" s="9">
        <f>Table13[[#This Row],[GrossRevenue]]*(1-Table13[[#This Row],[DiscountRate]])</f>
        <v>1800000</v>
      </c>
      <c r="S229" s="3">
        <f>Table13[[#This Row],[Quantity]]*Table13[[#This Row],[UnitCost_NGN]]</f>
        <v>1300000</v>
      </c>
      <c r="T229" s="3">
        <f>Table13[[#This Row],[NetRevenue]]-Table13[[#This Row],[TotalCost]]</f>
        <v>500000</v>
      </c>
      <c r="U229" s="3"/>
    </row>
    <row r="230" spans="1:21" x14ac:dyDescent="0.25">
      <c r="A230" t="s">
        <v>489</v>
      </c>
      <c r="B230" s="20">
        <v>45782</v>
      </c>
      <c r="C230" t="s">
        <v>18</v>
      </c>
      <c r="D230" t="s">
        <v>19</v>
      </c>
      <c r="E230" t="s">
        <v>20</v>
      </c>
      <c r="F230" t="s">
        <v>21</v>
      </c>
      <c r="G230" t="s">
        <v>62</v>
      </c>
      <c r="H230" t="s">
        <v>96</v>
      </c>
      <c r="I230" t="s">
        <v>55</v>
      </c>
      <c r="J230" t="s">
        <v>56</v>
      </c>
      <c r="K230">
        <v>3</v>
      </c>
      <c r="L230" s="3">
        <v>48000</v>
      </c>
      <c r="M230" s="3">
        <v>31500</v>
      </c>
      <c r="N230">
        <v>0.1</v>
      </c>
      <c r="O230" t="s">
        <v>148</v>
      </c>
      <c r="P230" t="s">
        <v>27</v>
      </c>
      <c r="Q230" s="3">
        <f>Table13[[#This Row],[Quantity]]*Table13[[#This Row],[UnitPrice_NGN]]</f>
        <v>144000</v>
      </c>
      <c r="R230" s="9">
        <f>Table13[[#This Row],[GrossRevenue]]*(1-Table13[[#This Row],[DiscountRate]])</f>
        <v>129600</v>
      </c>
      <c r="S230" s="3">
        <f>Table13[[#This Row],[Quantity]]*Table13[[#This Row],[UnitCost_NGN]]</f>
        <v>94500</v>
      </c>
      <c r="T230" s="3">
        <f>Table13[[#This Row],[NetRevenue]]-Table13[[#This Row],[TotalCost]]</f>
        <v>35100</v>
      </c>
      <c r="U230" s="3"/>
    </row>
    <row r="231" spans="1:21" x14ac:dyDescent="0.25">
      <c r="A231" t="s">
        <v>491</v>
      </c>
      <c r="B231" s="20">
        <v>45984</v>
      </c>
      <c r="C231" t="s">
        <v>30</v>
      </c>
      <c r="D231" t="s">
        <v>83</v>
      </c>
      <c r="E231" t="s">
        <v>84</v>
      </c>
      <c r="F231" t="s">
        <v>85</v>
      </c>
      <c r="G231" t="s">
        <v>44</v>
      </c>
      <c r="H231" t="s">
        <v>96</v>
      </c>
      <c r="I231" t="s">
        <v>51</v>
      </c>
      <c r="J231" t="s">
        <v>36</v>
      </c>
      <c r="K231">
        <v>3</v>
      </c>
      <c r="L231" s="3">
        <v>280000</v>
      </c>
      <c r="M231" s="3">
        <v>220500</v>
      </c>
      <c r="N231">
        <v>0</v>
      </c>
      <c r="O231" t="s">
        <v>37</v>
      </c>
      <c r="P231" t="s">
        <v>48</v>
      </c>
      <c r="Q231" s="3">
        <f>Table13[[#This Row],[Quantity]]*Table13[[#This Row],[UnitPrice_NGN]]</f>
        <v>840000</v>
      </c>
      <c r="R231" s="9">
        <f>Table13[[#This Row],[GrossRevenue]]*(1-Table13[[#This Row],[DiscountRate]])</f>
        <v>840000</v>
      </c>
      <c r="S231" s="3">
        <f>Table13[[#This Row],[Quantity]]*Table13[[#This Row],[UnitCost_NGN]]</f>
        <v>661500</v>
      </c>
      <c r="T231" s="3">
        <f>Table13[[#This Row],[NetRevenue]]-Table13[[#This Row],[TotalCost]]</f>
        <v>178500</v>
      </c>
      <c r="U231" s="3"/>
    </row>
    <row r="232" spans="1:21" x14ac:dyDescent="0.25">
      <c r="A232" t="s">
        <v>492</v>
      </c>
      <c r="B232" s="20">
        <v>45679</v>
      </c>
      <c r="C232" t="s">
        <v>18</v>
      </c>
      <c r="D232" t="s">
        <v>120</v>
      </c>
      <c r="E232" t="s">
        <v>121</v>
      </c>
      <c r="F232" t="s">
        <v>122</v>
      </c>
      <c r="G232" t="s">
        <v>33</v>
      </c>
      <c r="H232" t="s">
        <v>63</v>
      </c>
      <c r="I232" t="s">
        <v>55</v>
      </c>
      <c r="J232" t="s">
        <v>56</v>
      </c>
      <c r="K232">
        <v>6</v>
      </c>
      <c r="L232" s="3">
        <v>48000</v>
      </c>
      <c r="M232" s="3">
        <v>28500</v>
      </c>
      <c r="N232">
        <v>0.1</v>
      </c>
      <c r="O232" t="s">
        <v>148</v>
      </c>
      <c r="P232" t="s">
        <v>48</v>
      </c>
      <c r="Q232" s="3">
        <f>Table13[[#This Row],[Quantity]]*Table13[[#This Row],[UnitPrice_NGN]]</f>
        <v>288000</v>
      </c>
      <c r="R232" s="9">
        <f>Table13[[#This Row],[GrossRevenue]]*(1-Table13[[#This Row],[DiscountRate]])</f>
        <v>259200</v>
      </c>
      <c r="S232" s="3">
        <f>Table13[[#This Row],[Quantity]]*Table13[[#This Row],[UnitCost_NGN]]</f>
        <v>171000</v>
      </c>
      <c r="T232" s="3">
        <f>Table13[[#This Row],[NetRevenue]]-Table13[[#This Row],[TotalCost]]</f>
        <v>88200</v>
      </c>
      <c r="U232" s="3"/>
    </row>
    <row r="233" spans="1:21" x14ac:dyDescent="0.25">
      <c r="A233" t="s">
        <v>493</v>
      </c>
      <c r="B233" s="20">
        <v>45819</v>
      </c>
      <c r="C233" t="s">
        <v>18</v>
      </c>
      <c r="D233" t="s">
        <v>120</v>
      </c>
      <c r="E233" t="s">
        <v>121</v>
      </c>
      <c r="F233" t="s">
        <v>122</v>
      </c>
      <c r="G233" t="s">
        <v>44</v>
      </c>
      <c r="H233" t="s">
        <v>112</v>
      </c>
      <c r="I233" t="s">
        <v>51</v>
      </c>
      <c r="J233" t="s">
        <v>36</v>
      </c>
      <c r="K233">
        <v>10</v>
      </c>
      <c r="L233" s="3">
        <v>280000</v>
      </c>
      <c r="M233" s="3">
        <v>199500</v>
      </c>
      <c r="N233">
        <v>0</v>
      </c>
      <c r="O233" t="s">
        <v>52</v>
      </c>
      <c r="P233" t="s">
        <v>48</v>
      </c>
      <c r="Q233" s="3">
        <f>Table13[[#This Row],[Quantity]]*Table13[[#This Row],[UnitPrice_NGN]]</f>
        <v>2800000</v>
      </c>
      <c r="R233" s="9">
        <f>Table13[[#This Row],[GrossRevenue]]*(1-Table13[[#This Row],[DiscountRate]])</f>
        <v>2800000</v>
      </c>
      <c r="S233" s="3">
        <f>Table13[[#This Row],[Quantity]]*Table13[[#This Row],[UnitCost_NGN]]</f>
        <v>1995000</v>
      </c>
      <c r="T233" s="3">
        <f>Table13[[#This Row],[NetRevenue]]-Table13[[#This Row],[TotalCost]]</f>
        <v>805000</v>
      </c>
      <c r="U233" s="3"/>
    </row>
    <row r="234" spans="1:21" x14ac:dyDescent="0.25">
      <c r="A234" t="s">
        <v>495</v>
      </c>
      <c r="B234" s="20">
        <v>45934</v>
      </c>
      <c r="C234" t="s">
        <v>40</v>
      </c>
      <c r="D234" t="s">
        <v>157</v>
      </c>
      <c r="E234" t="s">
        <v>158</v>
      </c>
      <c r="F234" t="s">
        <v>21</v>
      </c>
      <c r="G234" t="s">
        <v>44</v>
      </c>
      <c r="H234" t="s">
        <v>96</v>
      </c>
      <c r="I234" t="s">
        <v>70</v>
      </c>
      <c r="J234" t="s">
        <v>71</v>
      </c>
      <c r="K234">
        <v>4</v>
      </c>
      <c r="L234" s="3">
        <v>95000</v>
      </c>
      <c r="M234" s="3">
        <v>65100</v>
      </c>
      <c r="N234">
        <v>0.15</v>
      </c>
      <c r="O234" t="s">
        <v>47</v>
      </c>
      <c r="P234" t="s">
        <v>48</v>
      </c>
      <c r="Q234" s="3">
        <f>Table13[[#This Row],[Quantity]]*Table13[[#This Row],[UnitPrice_NGN]]</f>
        <v>380000</v>
      </c>
      <c r="R234" s="9">
        <f>Table13[[#This Row],[GrossRevenue]]*(1-Table13[[#This Row],[DiscountRate]])</f>
        <v>323000</v>
      </c>
      <c r="S234" s="3">
        <f>Table13[[#This Row],[Quantity]]*Table13[[#This Row],[UnitCost_NGN]]</f>
        <v>260400</v>
      </c>
      <c r="T234" s="3">
        <f>Table13[[#This Row],[NetRevenue]]-Table13[[#This Row],[TotalCost]]</f>
        <v>62600</v>
      </c>
      <c r="U234" s="3"/>
    </row>
    <row r="235" spans="1:21" x14ac:dyDescent="0.25">
      <c r="A235" t="s">
        <v>496</v>
      </c>
      <c r="B235" s="20">
        <v>45967</v>
      </c>
      <c r="C235" t="s">
        <v>30</v>
      </c>
      <c r="D235" t="s">
        <v>19</v>
      </c>
      <c r="E235" t="s">
        <v>20</v>
      </c>
      <c r="F235" t="s">
        <v>21</v>
      </c>
      <c r="G235" t="s">
        <v>33</v>
      </c>
      <c r="H235" t="s">
        <v>63</v>
      </c>
      <c r="I235" t="s">
        <v>35</v>
      </c>
      <c r="J235" t="s">
        <v>36</v>
      </c>
      <c r="K235">
        <v>3</v>
      </c>
      <c r="L235" s="3">
        <v>495000</v>
      </c>
      <c r="M235" s="3">
        <v>332500</v>
      </c>
      <c r="N235">
        <v>0</v>
      </c>
      <c r="O235" t="s">
        <v>148</v>
      </c>
      <c r="P235" t="s">
        <v>133</v>
      </c>
      <c r="Q235" s="3">
        <f>Table13[[#This Row],[Quantity]]*Table13[[#This Row],[UnitPrice_NGN]]</f>
        <v>1485000</v>
      </c>
      <c r="R235" s="9">
        <f>Table13[[#This Row],[GrossRevenue]]*(1-Table13[[#This Row],[DiscountRate]])</f>
        <v>1485000</v>
      </c>
      <c r="S235" s="3">
        <f>Table13[[#This Row],[Quantity]]*Table13[[#This Row],[UnitCost_NGN]]</f>
        <v>997500</v>
      </c>
      <c r="T235" s="3">
        <f>Table13[[#This Row],[NetRevenue]]-Table13[[#This Row],[TotalCost]]</f>
        <v>487500</v>
      </c>
      <c r="U235" s="3"/>
    </row>
    <row r="236" spans="1:21" x14ac:dyDescent="0.25">
      <c r="A236" t="s">
        <v>498</v>
      </c>
      <c r="B236" s="20">
        <v>45840</v>
      </c>
      <c r="C236" t="s">
        <v>40</v>
      </c>
      <c r="D236" t="s">
        <v>41</v>
      </c>
      <c r="E236" t="s">
        <v>42</v>
      </c>
      <c r="F236" t="s">
        <v>43</v>
      </c>
      <c r="G236" t="s">
        <v>33</v>
      </c>
      <c r="H236" t="s">
        <v>34</v>
      </c>
      <c r="I236" t="s">
        <v>24</v>
      </c>
      <c r="J236" t="s">
        <v>25</v>
      </c>
      <c r="K236">
        <v>6</v>
      </c>
      <c r="L236" s="3">
        <v>22000</v>
      </c>
      <c r="M236" s="3">
        <v>13650</v>
      </c>
      <c r="N236">
        <v>0</v>
      </c>
      <c r="O236" t="s">
        <v>26</v>
      </c>
      <c r="P236" t="s">
        <v>133</v>
      </c>
      <c r="Q236" s="3">
        <f>Table13[[#This Row],[Quantity]]*Table13[[#This Row],[UnitPrice_NGN]]</f>
        <v>132000</v>
      </c>
      <c r="R236" s="9">
        <f>Table13[[#This Row],[GrossRevenue]]*(1-Table13[[#This Row],[DiscountRate]])</f>
        <v>132000</v>
      </c>
      <c r="S236" s="3">
        <f>Table13[[#This Row],[Quantity]]*Table13[[#This Row],[UnitCost_NGN]]</f>
        <v>81900</v>
      </c>
      <c r="T236" s="3">
        <f>Table13[[#This Row],[NetRevenue]]-Table13[[#This Row],[TotalCost]]</f>
        <v>50100</v>
      </c>
      <c r="U236" s="3"/>
    </row>
    <row r="237" spans="1:21" x14ac:dyDescent="0.25">
      <c r="A237" t="s">
        <v>500</v>
      </c>
      <c r="B237" s="20">
        <v>45795</v>
      </c>
      <c r="C237" t="s">
        <v>40</v>
      </c>
      <c r="D237" t="s">
        <v>131</v>
      </c>
      <c r="E237" t="s">
        <v>132</v>
      </c>
      <c r="F237" t="s">
        <v>80</v>
      </c>
      <c r="G237" t="s">
        <v>44</v>
      </c>
      <c r="H237" t="s">
        <v>112</v>
      </c>
      <c r="I237" t="s">
        <v>51</v>
      </c>
      <c r="J237" t="s">
        <v>36</v>
      </c>
      <c r="K237">
        <v>2</v>
      </c>
      <c r="L237" s="3">
        <v>266000</v>
      </c>
      <c r="M237" s="3">
        <v>199500</v>
      </c>
      <c r="N237">
        <v>0</v>
      </c>
      <c r="O237" t="s">
        <v>47</v>
      </c>
      <c r="P237" t="s">
        <v>48</v>
      </c>
      <c r="Q237" s="3">
        <f>Table13[[#This Row],[Quantity]]*Table13[[#This Row],[UnitPrice_NGN]]</f>
        <v>532000</v>
      </c>
      <c r="R237" s="9">
        <f>Table13[[#This Row],[GrossRevenue]]*(1-Table13[[#This Row],[DiscountRate]])</f>
        <v>532000</v>
      </c>
      <c r="S237" s="3">
        <f>Table13[[#This Row],[Quantity]]*Table13[[#This Row],[UnitCost_NGN]]</f>
        <v>399000</v>
      </c>
      <c r="T237" s="3">
        <f>Table13[[#This Row],[NetRevenue]]-Table13[[#This Row],[TotalCost]]</f>
        <v>133000</v>
      </c>
      <c r="U237" s="3"/>
    </row>
    <row r="238" spans="1:21" x14ac:dyDescent="0.25">
      <c r="A238" t="s">
        <v>502</v>
      </c>
      <c r="B238" s="20">
        <v>45796</v>
      </c>
      <c r="C238" t="s">
        <v>18</v>
      </c>
      <c r="D238" t="s">
        <v>19</v>
      </c>
      <c r="E238" t="s">
        <v>20</v>
      </c>
      <c r="F238" t="s">
        <v>21</v>
      </c>
      <c r="G238" t="s">
        <v>22</v>
      </c>
      <c r="H238" t="s">
        <v>34</v>
      </c>
      <c r="I238" t="s">
        <v>105</v>
      </c>
      <c r="J238" t="s">
        <v>71</v>
      </c>
      <c r="K238">
        <v>1</v>
      </c>
      <c r="L238" s="3">
        <v>175000</v>
      </c>
      <c r="M238" s="3">
        <v>126000</v>
      </c>
      <c r="N238">
        <v>0</v>
      </c>
      <c r="O238" t="s">
        <v>26</v>
      </c>
      <c r="P238" t="s">
        <v>48</v>
      </c>
      <c r="Q238" s="3">
        <f>Table13[[#This Row],[Quantity]]*Table13[[#This Row],[UnitPrice_NGN]]</f>
        <v>175000</v>
      </c>
      <c r="R238" s="9">
        <f>Table13[[#This Row],[GrossRevenue]]*(1-Table13[[#This Row],[DiscountRate]])</f>
        <v>175000</v>
      </c>
      <c r="S238" s="3">
        <f>Table13[[#This Row],[Quantity]]*Table13[[#This Row],[UnitCost_NGN]]</f>
        <v>126000</v>
      </c>
      <c r="T238" s="3">
        <f>Table13[[#This Row],[NetRevenue]]-Table13[[#This Row],[TotalCost]]</f>
        <v>49000</v>
      </c>
      <c r="U238" s="3"/>
    </row>
    <row r="239" spans="1:21" x14ac:dyDescent="0.25">
      <c r="A239" t="s">
        <v>504</v>
      </c>
      <c r="B239" s="20">
        <v>45703</v>
      </c>
      <c r="C239" t="s">
        <v>30</v>
      </c>
      <c r="D239" t="s">
        <v>78</v>
      </c>
      <c r="E239" t="s">
        <v>79</v>
      </c>
      <c r="F239" t="s">
        <v>80</v>
      </c>
      <c r="G239" t="s">
        <v>22</v>
      </c>
      <c r="H239" t="s">
        <v>23</v>
      </c>
      <c r="I239" t="s">
        <v>97</v>
      </c>
      <c r="J239" t="s">
        <v>56</v>
      </c>
      <c r="K239">
        <v>4</v>
      </c>
      <c r="L239" s="3">
        <v>125000</v>
      </c>
      <c r="M239" s="3">
        <v>80750</v>
      </c>
      <c r="N239">
        <v>0</v>
      </c>
      <c r="O239" t="s">
        <v>47</v>
      </c>
      <c r="P239" t="s">
        <v>48</v>
      </c>
      <c r="Q239" s="3">
        <f>Table13[[#This Row],[Quantity]]*Table13[[#This Row],[UnitPrice_NGN]]</f>
        <v>500000</v>
      </c>
      <c r="R239" s="9">
        <f>Table13[[#This Row],[GrossRevenue]]*(1-Table13[[#This Row],[DiscountRate]])</f>
        <v>500000</v>
      </c>
      <c r="S239" s="3">
        <f>Table13[[#This Row],[Quantity]]*Table13[[#This Row],[UnitCost_NGN]]</f>
        <v>323000</v>
      </c>
      <c r="T239" s="3">
        <f>Table13[[#This Row],[NetRevenue]]-Table13[[#This Row],[TotalCost]]</f>
        <v>177000</v>
      </c>
      <c r="U239" s="3"/>
    </row>
    <row r="240" spans="1:21" x14ac:dyDescent="0.25">
      <c r="A240" t="s">
        <v>506</v>
      </c>
      <c r="B240" s="20">
        <v>45944</v>
      </c>
      <c r="C240" t="s">
        <v>30</v>
      </c>
      <c r="D240" t="s">
        <v>31</v>
      </c>
      <c r="E240" t="s">
        <v>32</v>
      </c>
      <c r="F240" t="s">
        <v>21</v>
      </c>
      <c r="G240" t="s">
        <v>44</v>
      </c>
      <c r="H240" t="s">
        <v>112</v>
      </c>
      <c r="I240" t="s">
        <v>55</v>
      </c>
      <c r="J240" t="s">
        <v>56</v>
      </c>
      <c r="K240">
        <v>2</v>
      </c>
      <c r="L240" s="3">
        <v>48000</v>
      </c>
      <c r="M240" s="3">
        <v>28500</v>
      </c>
      <c r="N240">
        <v>0.15</v>
      </c>
      <c r="O240" t="s">
        <v>90</v>
      </c>
      <c r="P240" t="s">
        <v>48</v>
      </c>
      <c r="Q240" s="3">
        <f>Table13[[#This Row],[Quantity]]*Table13[[#This Row],[UnitPrice_NGN]]</f>
        <v>96000</v>
      </c>
      <c r="R240" s="9">
        <f>Table13[[#This Row],[GrossRevenue]]*(1-Table13[[#This Row],[DiscountRate]])</f>
        <v>81600</v>
      </c>
      <c r="S240" s="3">
        <f>Table13[[#This Row],[Quantity]]*Table13[[#This Row],[UnitCost_NGN]]</f>
        <v>57000</v>
      </c>
      <c r="T240" s="3">
        <f>Table13[[#This Row],[NetRevenue]]-Table13[[#This Row],[TotalCost]]</f>
        <v>24600</v>
      </c>
      <c r="U240" s="3"/>
    </row>
    <row r="241" spans="1:21" x14ac:dyDescent="0.25">
      <c r="A241" t="s">
        <v>507</v>
      </c>
      <c r="B241" s="20">
        <v>45743</v>
      </c>
      <c r="C241" t="s">
        <v>40</v>
      </c>
      <c r="D241" t="s">
        <v>41</v>
      </c>
      <c r="E241" t="s">
        <v>42</v>
      </c>
      <c r="F241" t="s">
        <v>43</v>
      </c>
      <c r="G241" t="s">
        <v>33</v>
      </c>
      <c r="H241" t="s">
        <v>63</v>
      </c>
      <c r="I241" t="s">
        <v>75</v>
      </c>
      <c r="J241" t="s">
        <v>36</v>
      </c>
      <c r="K241">
        <v>2</v>
      </c>
      <c r="L241" s="3">
        <v>180000</v>
      </c>
      <c r="M241" s="3">
        <v>130000</v>
      </c>
      <c r="N241">
        <v>0</v>
      </c>
      <c r="O241" t="s">
        <v>37</v>
      </c>
      <c r="P241" t="s">
        <v>72</v>
      </c>
      <c r="Q241" s="3">
        <f>Table13[[#This Row],[Quantity]]*Table13[[#This Row],[UnitPrice_NGN]]</f>
        <v>360000</v>
      </c>
      <c r="R241" s="9">
        <f>Table13[[#This Row],[GrossRevenue]]*(1-Table13[[#This Row],[DiscountRate]])</f>
        <v>360000</v>
      </c>
      <c r="S241" s="3">
        <f>Table13[[#This Row],[Quantity]]*Table13[[#This Row],[UnitCost_NGN]]</f>
        <v>260000</v>
      </c>
      <c r="T241" s="3">
        <f>Table13[[#This Row],[NetRevenue]]-Table13[[#This Row],[TotalCost]]</f>
        <v>100000</v>
      </c>
      <c r="U241" s="3"/>
    </row>
    <row r="242" spans="1:21" x14ac:dyDescent="0.25">
      <c r="A242" t="s">
        <v>508</v>
      </c>
      <c r="B242" s="20">
        <v>45973</v>
      </c>
      <c r="C242" t="s">
        <v>40</v>
      </c>
      <c r="D242" t="s">
        <v>88</v>
      </c>
      <c r="E242" t="s">
        <v>89</v>
      </c>
      <c r="F242" t="s">
        <v>43</v>
      </c>
      <c r="G242" t="s">
        <v>22</v>
      </c>
      <c r="H242" t="s">
        <v>34</v>
      </c>
      <c r="I242" t="s">
        <v>51</v>
      </c>
      <c r="J242" t="s">
        <v>36</v>
      </c>
      <c r="K242">
        <v>2</v>
      </c>
      <c r="L242" s="3">
        <v>266000</v>
      </c>
      <c r="M242" s="3">
        <v>220500</v>
      </c>
      <c r="N242">
        <v>0.1</v>
      </c>
      <c r="O242" t="s">
        <v>57</v>
      </c>
      <c r="P242" t="s">
        <v>48</v>
      </c>
      <c r="Q242" s="3">
        <f>Table13[[#This Row],[Quantity]]*Table13[[#This Row],[UnitPrice_NGN]]</f>
        <v>532000</v>
      </c>
      <c r="R242" s="9">
        <f>Table13[[#This Row],[GrossRevenue]]*(1-Table13[[#This Row],[DiscountRate]])</f>
        <v>478800</v>
      </c>
      <c r="S242" s="3">
        <f>Table13[[#This Row],[Quantity]]*Table13[[#This Row],[UnitCost_NGN]]</f>
        <v>441000</v>
      </c>
      <c r="T242" s="3">
        <f>Table13[[#This Row],[NetRevenue]]-Table13[[#This Row],[TotalCost]]</f>
        <v>37800</v>
      </c>
      <c r="U242" s="3"/>
    </row>
    <row r="243" spans="1:21" x14ac:dyDescent="0.25">
      <c r="A243" t="s">
        <v>510</v>
      </c>
      <c r="B243" s="20">
        <v>45883</v>
      </c>
      <c r="C243" t="s">
        <v>40</v>
      </c>
      <c r="D243" t="s">
        <v>83</v>
      </c>
      <c r="E243" t="s">
        <v>84</v>
      </c>
      <c r="F243" t="s">
        <v>85</v>
      </c>
      <c r="G243" t="s">
        <v>44</v>
      </c>
      <c r="H243" t="s">
        <v>63</v>
      </c>
      <c r="I243" t="s">
        <v>35</v>
      </c>
      <c r="J243" t="s">
        <v>36</v>
      </c>
      <c r="K243">
        <v>2</v>
      </c>
      <c r="L243" s="3">
        <v>450000</v>
      </c>
      <c r="M243" s="3">
        <v>367500</v>
      </c>
      <c r="N243">
        <v>0</v>
      </c>
      <c r="O243" t="s">
        <v>47</v>
      </c>
      <c r="P243" t="s">
        <v>48</v>
      </c>
      <c r="Q243" s="3">
        <f>Table13[[#This Row],[Quantity]]*Table13[[#This Row],[UnitPrice_NGN]]</f>
        <v>900000</v>
      </c>
      <c r="R243" s="9">
        <f>Table13[[#This Row],[GrossRevenue]]*(1-Table13[[#This Row],[DiscountRate]])</f>
        <v>900000</v>
      </c>
      <c r="S243" s="3">
        <f>Table13[[#This Row],[Quantity]]*Table13[[#This Row],[UnitCost_NGN]]</f>
        <v>735000</v>
      </c>
      <c r="T243" s="3">
        <f>Table13[[#This Row],[NetRevenue]]-Table13[[#This Row],[TotalCost]]</f>
        <v>165000</v>
      </c>
      <c r="U243" s="3"/>
    </row>
    <row r="244" spans="1:21" x14ac:dyDescent="0.25">
      <c r="A244" t="s">
        <v>512</v>
      </c>
      <c r="B244" s="20">
        <v>45821</v>
      </c>
      <c r="C244" t="s">
        <v>30</v>
      </c>
      <c r="D244" t="s">
        <v>136</v>
      </c>
      <c r="E244" t="s">
        <v>137</v>
      </c>
      <c r="F244" t="s">
        <v>122</v>
      </c>
      <c r="G244" t="s">
        <v>33</v>
      </c>
      <c r="H244" t="s">
        <v>23</v>
      </c>
      <c r="I244" t="s">
        <v>45</v>
      </c>
      <c r="J244" t="s">
        <v>46</v>
      </c>
      <c r="K244">
        <v>2</v>
      </c>
      <c r="L244" s="3">
        <v>18500</v>
      </c>
      <c r="M244" s="3">
        <v>14500</v>
      </c>
      <c r="N244">
        <v>0.05</v>
      </c>
      <c r="O244" t="s">
        <v>64</v>
      </c>
      <c r="P244" t="s">
        <v>48</v>
      </c>
      <c r="Q244" s="3">
        <f>Table13[[#This Row],[Quantity]]*Table13[[#This Row],[UnitPrice_NGN]]</f>
        <v>37000</v>
      </c>
      <c r="R244" s="9">
        <f>Table13[[#This Row],[GrossRevenue]]*(1-Table13[[#This Row],[DiscountRate]])</f>
        <v>35150</v>
      </c>
      <c r="S244" s="3">
        <f>Table13[[#This Row],[Quantity]]*Table13[[#This Row],[UnitCost_NGN]]</f>
        <v>29000</v>
      </c>
      <c r="T244" s="3">
        <f>Table13[[#This Row],[NetRevenue]]-Table13[[#This Row],[TotalCost]]</f>
        <v>6150</v>
      </c>
      <c r="U244" s="3"/>
    </row>
    <row r="245" spans="1:21" x14ac:dyDescent="0.25">
      <c r="A245" t="s">
        <v>513</v>
      </c>
      <c r="B245" s="20">
        <v>45716</v>
      </c>
      <c r="C245" t="s">
        <v>18</v>
      </c>
      <c r="D245" t="s">
        <v>83</v>
      </c>
      <c r="E245" t="s">
        <v>84</v>
      </c>
      <c r="F245" t="s">
        <v>85</v>
      </c>
      <c r="G245" t="s">
        <v>44</v>
      </c>
      <c r="H245" t="s">
        <v>23</v>
      </c>
      <c r="I245" t="s">
        <v>105</v>
      </c>
      <c r="J245" t="s">
        <v>71</v>
      </c>
      <c r="K245">
        <v>2</v>
      </c>
      <c r="L245" s="3">
        <v>192500</v>
      </c>
      <c r="M245" s="3">
        <v>126000</v>
      </c>
      <c r="N245">
        <v>0</v>
      </c>
      <c r="O245" t="s">
        <v>148</v>
      </c>
      <c r="P245" t="s">
        <v>133</v>
      </c>
      <c r="Q245" s="3">
        <f>Table13[[#This Row],[Quantity]]*Table13[[#This Row],[UnitPrice_NGN]]</f>
        <v>385000</v>
      </c>
      <c r="R245" s="9">
        <f>Table13[[#This Row],[GrossRevenue]]*(1-Table13[[#This Row],[DiscountRate]])</f>
        <v>385000</v>
      </c>
      <c r="S245" s="3">
        <f>Table13[[#This Row],[Quantity]]*Table13[[#This Row],[UnitCost_NGN]]</f>
        <v>252000</v>
      </c>
      <c r="T245" s="3">
        <f>Table13[[#This Row],[NetRevenue]]-Table13[[#This Row],[TotalCost]]</f>
        <v>133000</v>
      </c>
      <c r="U245" s="3"/>
    </row>
    <row r="246" spans="1:21" x14ac:dyDescent="0.25">
      <c r="A246" t="s">
        <v>515</v>
      </c>
      <c r="B246" s="20">
        <v>46012</v>
      </c>
      <c r="C246" t="s">
        <v>40</v>
      </c>
      <c r="D246" t="s">
        <v>110</v>
      </c>
      <c r="E246" t="s">
        <v>111</v>
      </c>
      <c r="F246" t="s">
        <v>85</v>
      </c>
      <c r="G246" t="s">
        <v>33</v>
      </c>
      <c r="H246" t="s">
        <v>34</v>
      </c>
      <c r="I246" t="s">
        <v>102</v>
      </c>
      <c r="J246" t="s">
        <v>25</v>
      </c>
      <c r="K246">
        <v>12</v>
      </c>
      <c r="L246" s="3">
        <v>39900</v>
      </c>
      <c r="M246" s="3">
        <v>27300</v>
      </c>
      <c r="N246">
        <v>0</v>
      </c>
      <c r="O246" t="s">
        <v>57</v>
      </c>
      <c r="P246" t="s">
        <v>48</v>
      </c>
      <c r="Q246" s="3">
        <f>Table13[[#This Row],[Quantity]]*Table13[[#This Row],[UnitPrice_NGN]]</f>
        <v>478800</v>
      </c>
      <c r="R246" s="9">
        <f>Table13[[#This Row],[GrossRevenue]]*(1-Table13[[#This Row],[DiscountRate]])</f>
        <v>478800</v>
      </c>
      <c r="S246" s="3">
        <f>Table13[[#This Row],[Quantity]]*Table13[[#This Row],[UnitCost_NGN]]</f>
        <v>327600</v>
      </c>
      <c r="T246" s="3">
        <f>Table13[[#This Row],[NetRevenue]]-Table13[[#This Row],[TotalCost]]</f>
        <v>151200</v>
      </c>
      <c r="U246" s="3"/>
    </row>
    <row r="247" spans="1:21" x14ac:dyDescent="0.25">
      <c r="A247" t="s">
        <v>517</v>
      </c>
      <c r="B247" s="20">
        <v>45695</v>
      </c>
      <c r="C247" t="s">
        <v>30</v>
      </c>
      <c r="D247" t="s">
        <v>41</v>
      </c>
      <c r="E247" t="s">
        <v>42</v>
      </c>
      <c r="F247" t="s">
        <v>43</v>
      </c>
      <c r="G247" t="s">
        <v>33</v>
      </c>
      <c r="H247" t="s">
        <v>23</v>
      </c>
      <c r="I247" t="s">
        <v>113</v>
      </c>
      <c r="J247" t="s">
        <v>36</v>
      </c>
      <c r="K247">
        <v>5</v>
      </c>
      <c r="L247" s="3">
        <v>168000</v>
      </c>
      <c r="M247" s="3">
        <v>120750</v>
      </c>
      <c r="N247">
        <v>0.05</v>
      </c>
      <c r="O247" t="s">
        <v>26</v>
      </c>
      <c r="P247" t="s">
        <v>72</v>
      </c>
      <c r="Q247" s="3">
        <f>Table13[[#This Row],[Quantity]]*Table13[[#This Row],[UnitPrice_NGN]]</f>
        <v>840000</v>
      </c>
      <c r="R247" s="9">
        <f>Table13[[#This Row],[GrossRevenue]]*(1-Table13[[#This Row],[DiscountRate]])</f>
        <v>798000</v>
      </c>
      <c r="S247" s="3">
        <f>Table13[[#This Row],[Quantity]]*Table13[[#This Row],[UnitCost_NGN]]</f>
        <v>603750</v>
      </c>
      <c r="T247" s="3">
        <f>Table13[[#This Row],[NetRevenue]]-Table13[[#This Row],[TotalCost]]</f>
        <v>194250</v>
      </c>
      <c r="U247" s="3"/>
    </row>
    <row r="248" spans="1:21" x14ac:dyDescent="0.25">
      <c r="A248" t="s">
        <v>519</v>
      </c>
      <c r="B248" s="20">
        <v>45676</v>
      </c>
      <c r="C248" t="s">
        <v>30</v>
      </c>
      <c r="D248" t="s">
        <v>78</v>
      </c>
      <c r="E248" t="s">
        <v>79</v>
      </c>
      <c r="F248" t="s">
        <v>80</v>
      </c>
      <c r="G248" t="s">
        <v>22</v>
      </c>
      <c r="H248" t="s">
        <v>96</v>
      </c>
      <c r="I248" t="s">
        <v>93</v>
      </c>
      <c r="J248" t="s">
        <v>46</v>
      </c>
      <c r="K248">
        <v>10</v>
      </c>
      <c r="L248" s="3">
        <v>104500</v>
      </c>
      <c r="M248" s="3">
        <v>86100</v>
      </c>
      <c r="N248">
        <v>0.1</v>
      </c>
      <c r="O248" t="s">
        <v>64</v>
      </c>
      <c r="P248" t="s">
        <v>48</v>
      </c>
      <c r="Q248" s="3">
        <f>Table13[[#This Row],[Quantity]]*Table13[[#This Row],[UnitPrice_NGN]]</f>
        <v>1045000</v>
      </c>
      <c r="R248" s="9">
        <f>Table13[[#This Row],[GrossRevenue]]*(1-Table13[[#This Row],[DiscountRate]])</f>
        <v>940500</v>
      </c>
      <c r="S248" s="3">
        <f>Table13[[#This Row],[Quantity]]*Table13[[#This Row],[UnitCost_NGN]]</f>
        <v>861000</v>
      </c>
      <c r="T248" s="3">
        <f>Table13[[#This Row],[NetRevenue]]-Table13[[#This Row],[TotalCost]]</f>
        <v>79500</v>
      </c>
      <c r="U248" s="3"/>
    </row>
    <row r="249" spans="1:21" x14ac:dyDescent="0.25">
      <c r="A249" t="s">
        <v>520</v>
      </c>
      <c r="B249" s="20">
        <v>45988</v>
      </c>
      <c r="C249" t="s">
        <v>30</v>
      </c>
      <c r="D249" t="s">
        <v>120</v>
      </c>
      <c r="E249" t="s">
        <v>121</v>
      </c>
      <c r="F249" t="s">
        <v>122</v>
      </c>
      <c r="G249" t="s">
        <v>33</v>
      </c>
      <c r="H249" t="s">
        <v>63</v>
      </c>
      <c r="I249" t="s">
        <v>24</v>
      </c>
      <c r="J249" t="s">
        <v>25</v>
      </c>
      <c r="K249">
        <v>2</v>
      </c>
      <c r="L249" s="3">
        <v>23100</v>
      </c>
      <c r="M249" s="3">
        <v>12350</v>
      </c>
      <c r="N249">
        <v>0.1</v>
      </c>
      <c r="O249" t="s">
        <v>26</v>
      </c>
      <c r="P249" t="s">
        <v>27</v>
      </c>
      <c r="Q249" s="3">
        <f>Table13[[#This Row],[Quantity]]*Table13[[#This Row],[UnitPrice_NGN]]</f>
        <v>46200</v>
      </c>
      <c r="R249" s="9">
        <f>Table13[[#This Row],[GrossRevenue]]*(1-Table13[[#This Row],[DiscountRate]])</f>
        <v>41580</v>
      </c>
      <c r="S249" s="3">
        <f>Table13[[#This Row],[Quantity]]*Table13[[#This Row],[UnitCost_NGN]]</f>
        <v>24700</v>
      </c>
      <c r="T249" s="3">
        <f>Table13[[#This Row],[NetRevenue]]-Table13[[#This Row],[TotalCost]]</f>
        <v>16880</v>
      </c>
      <c r="U249" s="3"/>
    </row>
    <row r="250" spans="1:21" x14ac:dyDescent="0.25">
      <c r="A250" t="s">
        <v>521</v>
      </c>
      <c r="B250" s="20">
        <v>45849</v>
      </c>
      <c r="C250" t="s">
        <v>40</v>
      </c>
      <c r="D250" t="s">
        <v>31</v>
      </c>
      <c r="E250" t="s">
        <v>32</v>
      </c>
      <c r="F250" t="s">
        <v>21</v>
      </c>
      <c r="G250" t="s">
        <v>44</v>
      </c>
      <c r="H250" t="s">
        <v>63</v>
      </c>
      <c r="I250" t="s">
        <v>51</v>
      </c>
      <c r="J250" t="s">
        <v>36</v>
      </c>
      <c r="K250">
        <v>1</v>
      </c>
      <c r="L250" s="3">
        <v>266000</v>
      </c>
      <c r="M250" s="3">
        <v>210000</v>
      </c>
      <c r="N250">
        <v>0.05</v>
      </c>
      <c r="O250" t="s">
        <v>148</v>
      </c>
      <c r="P250" t="s">
        <v>72</v>
      </c>
      <c r="Q250" s="3">
        <f>Table13[[#This Row],[Quantity]]*Table13[[#This Row],[UnitPrice_NGN]]</f>
        <v>266000</v>
      </c>
      <c r="R250" s="9">
        <f>Table13[[#This Row],[GrossRevenue]]*(1-Table13[[#This Row],[DiscountRate]])</f>
        <v>252700</v>
      </c>
      <c r="S250" s="3">
        <f>Table13[[#This Row],[Quantity]]*Table13[[#This Row],[UnitCost_NGN]]</f>
        <v>210000</v>
      </c>
      <c r="T250" s="3">
        <f>Table13[[#This Row],[NetRevenue]]-Table13[[#This Row],[TotalCost]]</f>
        <v>42700</v>
      </c>
      <c r="U250" s="3"/>
    </row>
    <row r="251" spans="1:21" x14ac:dyDescent="0.25">
      <c r="A251" t="s">
        <v>522</v>
      </c>
      <c r="B251" s="20">
        <v>45730</v>
      </c>
      <c r="C251" t="s">
        <v>40</v>
      </c>
      <c r="D251" t="s">
        <v>19</v>
      </c>
      <c r="E251" t="s">
        <v>20</v>
      </c>
      <c r="F251" t="s">
        <v>21</v>
      </c>
      <c r="G251" t="s">
        <v>62</v>
      </c>
      <c r="H251" t="s">
        <v>112</v>
      </c>
      <c r="I251" t="s">
        <v>97</v>
      </c>
      <c r="J251" t="s">
        <v>56</v>
      </c>
      <c r="K251">
        <v>2</v>
      </c>
      <c r="L251" s="3">
        <v>112500</v>
      </c>
      <c r="M251" s="3">
        <v>80750</v>
      </c>
      <c r="N251">
        <v>0.15</v>
      </c>
      <c r="O251" t="s">
        <v>64</v>
      </c>
      <c r="P251" t="s">
        <v>48</v>
      </c>
      <c r="Q251" s="3">
        <f>Table13[[#This Row],[Quantity]]*Table13[[#This Row],[UnitPrice_NGN]]</f>
        <v>225000</v>
      </c>
      <c r="R251" s="9">
        <f>Table13[[#This Row],[GrossRevenue]]*(1-Table13[[#This Row],[DiscountRate]])</f>
        <v>191250</v>
      </c>
      <c r="S251" s="3">
        <f>Table13[[#This Row],[Quantity]]*Table13[[#This Row],[UnitCost_NGN]]</f>
        <v>161500</v>
      </c>
      <c r="T251" s="3">
        <f>Table13[[#This Row],[NetRevenue]]-Table13[[#This Row],[TotalCost]]</f>
        <v>29750</v>
      </c>
      <c r="U251" s="3"/>
    </row>
    <row r="252" spans="1:21" x14ac:dyDescent="0.25">
      <c r="A252" t="s">
        <v>523</v>
      </c>
      <c r="B252" s="20">
        <v>46014</v>
      </c>
      <c r="C252" t="s">
        <v>40</v>
      </c>
      <c r="D252" t="s">
        <v>110</v>
      </c>
      <c r="E252" t="s">
        <v>111</v>
      </c>
      <c r="F252" t="s">
        <v>85</v>
      </c>
      <c r="G252" t="s">
        <v>22</v>
      </c>
      <c r="H252" t="s">
        <v>63</v>
      </c>
      <c r="I252" t="s">
        <v>93</v>
      </c>
      <c r="J252" t="s">
        <v>46</v>
      </c>
      <c r="K252">
        <v>2</v>
      </c>
      <c r="L252" s="3">
        <v>85500</v>
      </c>
      <c r="M252" s="3">
        <v>86100</v>
      </c>
      <c r="N252">
        <v>0.15</v>
      </c>
      <c r="O252" t="s">
        <v>148</v>
      </c>
      <c r="P252" t="s">
        <v>72</v>
      </c>
      <c r="Q252" s="3">
        <f>Table13[[#This Row],[Quantity]]*Table13[[#This Row],[UnitPrice_NGN]]</f>
        <v>171000</v>
      </c>
      <c r="R252" s="9">
        <f>Table13[[#This Row],[GrossRevenue]]*(1-Table13[[#This Row],[DiscountRate]])</f>
        <v>145350</v>
      </c>
      <c r="S252" s="3">
        <f>Table13[[#This Row],[Quantity]]*Table13[[#This Row],[UnitCost_NGN]]</f>
        <v>172200</v>
      </c>
      <c r="T252" s="3">
        <f>Table13[[#This Row],[NetRevenue]]-Table13[[#This Row],[TotalCost]]</f>
        <v>-26850</v>
      </c>
      <c r="U252" s="3"/>
    </row>
    <row r="253" spans="1:21" x14ac:dyDescent="0.25">
      <c r="A253" t="s">
        <v>525</v>
      </c>
      <c r="B253" s="20">
        <v>45742</v>
      </c>
      <c r="C253" t="s">
        <v>18</v>
      </c>
      <c r="D253" t="s">
        <v>19</v>
      </c>
      <c r="E253" t="s">
        <v>20</v>
      </c>
      <c r="F253" t="s">
        <v>21</v>
      </c>
      <c r="G253" t="s">
        <v>44</v>
      </c>
      <c r="H253" t="s">
        <v>23</v>
      </c>
      <c r="I253" t="s">
        <v>102</v>
      </c>
      <c r="J253" t="s">
        <v>25</v>
      </c>
      <c r="K253">
        <v>1</v>
      </c>
      <c r="L253" s="3">
        <v>42000</v>
      </c>
      <c r="M253" s="3">
        <v>24700</v>
      </c>
      <c r="N253">
        <v>0.15</v>
      </c>
      <c r="O253" t="s">
        <v>90</v>
      </c>
      <c r="P253" t="s">
        <v>27</v>
      </c>
      <c r="Q253" s="3">
        <f>Table13[[#This Row],[Quantity]]*Table13[[#This Row],[UnitPrice_NGN]]</f>
        <v>42000</v>
      </c>
      <c r="R253" s="9">
        <f>Table13[[#This Row],[GrossRevenue]]*(1-Table13[[#This Row],[DiscountRate]])</f>
        <v>35700</v>
      </c>
      <c r="S253" s="3">
        <f>Table13[[#This Row],[Quantity]]*Table13[[#This Row],[UnitCost_NGN]]</f>
        <v>24700</v>
      </c>
      <c r="T253" s="3">
        <f>Table13[[#This Row],[NetRevenue]]-Table13[[#This Row],[TotalCost]]</f>
        <v>11000</v>
      </c>
      <c r="U253" s="3"/>
    </row>
    <row r="254" spans="1:21" x14ac:dyDescent="0.25">
      <c r="A254" t="s">
        <v>526</v>
      </c>
      <c r="B254" s="20">
        <v>45980</v>
      </c>
      <c r="C254" t="s">
        <v>18</v>
      </c>
      <c r="D254" t="s">
        <v>78</v>
      </c>
      <c r="E254" t="s">
        <v>79</v>
      </c>
      <c r="F254" t="s">
        <v>80</v>
      </c>
      <c r="G254" t="s">
        <v>33</v>
      </c>
      <c r="H254" t="s">
        <v>112</v>
      </c>
      <c r="I254" t="s">
        <v>105</v>
      </c>
      <c r="J254" t="s">
        <v>71</v>
      </c>
      <c r="K254">
        <v>3</v>
      </c>
      <c r="L254" s="3">
        <v>175000</v>
      </c>
      <c r="M254" s="3">
        <v>120000</v>
      </c>
      <c r="N254">
        <v>0.05</v>
      </c>
      <c r="O254" t="s">
        <v>148</v>
      </c>
      <c r="P254" t="s">
        <v>48</v>
      </c>
      <c r="Q254" s="3">
        <f>Table13[[#This Row],[Quantity]]*Table13[[#This Row],[UnitPrice_NGN]]</f>
        <v>525000</v>
      </c>
      <c r="R254" s="9">
        <f>Table13[[#This Row],[GrossRevenue]]*(1-Table13[[#This Row],[DiscountRate]])</f>
        <v>498750</v>
      </c>
      <c r="S254" s="3">
        <f>Table13[[#This Row],[Quantity]]*Table13[[#This Row],[UnitCost_NGN]]</f>
        <v>360000</v>
      </c>
      <c r="T254" s="3">
        <f>Table13[[#This Row],[NetRevenue]]-Table13[[#This Row],[TotalCost]]</f>
        <v>138750</v>
      </c>
      <c r="U254" s="3"/>
    </row>
    <row r="255" spans="1:21" x14ac:dyDescent="0.25">
      <c r="A255" t="s">
        <v>527</v>
      </c>
      <c r="B255" s="20">
        <v>45660</v>
      </c>
      <c r="C255" t="s">
        <v>18</v>
      </c>
      <c r="D255" t="s">
        <v>131</v>
      </c>
      <c r="E255" t="s">
        <v>132</v>
      </c>
      <c r="F255" t="s">
        <v>80</v>
      </c>
      <c r="G255" t="s">
        <v>44</v>
      </c>
      <c r="H255" t="s">
        <v>63</v>
      </c>
      <c r="I255" t="s">
        <v>102</v>
      </c>
      <c r="J255" t="s">
        <v>25</v>
      </c>
      <c r="K255">
        <v>10</v>
      </c>
      <c r="L255" s="3">
        <v>42000</v>
      </c>
      <c r="M255" s="3">
        <v>27300</v>
      </c>
      <c r="N255">
        <v>0.05</v>
      </c>
      <c r="O255" t="s">
        <v>52</v>
      </c>
      <c r="P255" t="s">
        <v>27</v>
      </c>
      <c r="Q255" s="3">
        <f>Table13[[#This Row],[Quantity]]*Table13[[#This Row],[UnitPrice_NGN]]</f>
        <v>420000</v>
      </c>
      <c r="R255" s="9">
        <f>Table13[[#This Row],[GrossRevenue]]*(1-Table13[[#This Row],[DiscountRate]])</f>
        <v>399000</v>
      </c>
      <c r="S255" s="3">
        <f>Table13[[#This Row],[Quantity]]*Table13[[#This Row],[UnitCost_NGN]]</f>
        <v>273000</v>
      </c>
      <c r="T255" s="3">
        <f>Table13[[#This Row],[NetRevenue]]-Table13[[#This Row],[TotalCost]]</f>
        <v>126000</v>
      </c>
      <c r="U255" s="3"/>
    </row>
    <row r="256" spans="1:21" x14ac:dyDescent="0.25">
      <c r="A256" t="s">
        <v>529</v>
      </c>
      <c r="B256" s="20">
        <v>45824</v>
      </c>
      <c r="C256" t="s">
        <v>40</v>
      </c>
      <c r="D256" t="s">
        <v>19</v>
      </c>
      <c r="E256" t="s">
        <v>20</v>
      </c>
      <c r="F256" t="s">
        <v>21</v>
      </c>
      <c r="G256" t="s">
        <v>22</v>
      </c>
      <c r="H256" t="s">
        <v>63</v>
      </c>
      <c r="I256" t="s">
        <v>45</v>
      </c>
      <c r="J256" t="s">
        <v>46</v>
      </c>
      <c r="K256">
        <v>6</v>
      </c>
      <c r="L256" s="3">
        <v>18500</v>
      </c>
      <c r="M256" s="3">
        <v>14500</v>
      </c>
      <c r="N256">
        <v>0</v>
      </c>
      <c r="O256" t="s">
        <v>37</v>
      </c>
      <c r="P256" t="s">
        <v>48</v>
      </c>
      <c r="Q256" s="3">
        <f>Table13[[#This Row],[Quantity]]*Table13[[#This Row],[UnitPrice_NGN]]</f>
        <v>111000</v>
      </c>
      <c r="R256" s="9">
        <f>Table13[[#This Row],[GrossRevenue]]*(1-Table13[[#This Row],[DiscountRate]])</f>
        <v>111000</v>
      </c>
      <c r="S256" s="3">
        <f>Table13[[#This Row],[Quantity]]*Table13[[#This Row],[UnitCost_NGN]]</f>
        <v>87000</v>
      </c>
      <c r="T256" s="3">
        <f>Table13[[#This Row],[NetRevenue]]-Table13[[#This Row],[TotalCost]]</f>
        <v>24000</v>
      </c>
      <c r="U256" s="3"/>
    </row>
    <row r="257" spans="1:21" x14ac:dyDescent="0.25">
      <c r="A257" t="s">
        <v>530</v>
      </c>
      <c r="B257" s="20">
        <v>45716</v>
      </c>
      <c r="C257" t="s">
        <v>40</v>
      </c>
      <c r="D257" t="s">
        <v>120</v>
      </c>
      <c r="E257" t="s">
        <v>121</v>
      </c>
      <c r="F257" t="s">
        <v>122</v>
      </c>
      <c r="G257" t="s">
        <v>33</v>
      </c>
      <c r="H257" t="s">
        <v>23</v>
      </c>
      <c r="I257" t="s">
        <v>93</v>
      </c>
      <c r="J257" t="s">
        <v>46</v>
      </c>
      <c r="K257">
        <v>2</v>
      </c>
      <c r="L257" s="3">
        <v>95000</v>
      </c>
      <c r="M257" s="3">
        <v>86100</v>
      </c>
      <c r="N257">
        <v>0.1</v>
      </c>
      <c r="O257" t="s">
        <v>90</v>
      </c>
      <c r="P257" t="s">
        <v>48</v>
      </c>
      <c r="Q257" s="3">
        <f>Table13[[#This Row],[Quantity]]*Table13[[#This Row],[UnitPrice_NGN]]</f>
        <v>190000</v>
      </c>
      <c r="R257" s="9">
        <f>Table13[[#This Row],[GrossRevenue]]*(1-Table13[[#This Row],[DiscountRate]])</f>
        <v>171000</v>
      </c>
      <c r="S257" s="3">
        <f>Table13[[#This Row],[Quantity]]*Table13[[#This Row],[UnitCost_NGN]]</f>
        <v>172200</v>
      </c>
      <c r="T257" s="3">
        <f>Table13[[#This Row],[NetRevenue]]-Table13[[#This Row],[TotalCost]]</f>
        <v>-1200</v>
      </c>
      <c r="U257" s="3"/>
    </row>
    <row r="258" spans="1:21" x14ac:dyDescent="0.25">
      <c r="A258" t="s">
        <v>531</v>
      </c>
      <c r="B258" s="20">
        <v>45726</v>
      </c>
      <c r="C258" t="s">
        <v>18</v>
      </c>
      <c r="D258" t="s">
        <v>136</v>
      </c>
      <c r="E258" t="s">
        <v>137</v>
      </c>
      <c r="F258" t="s">
        <v>122</v>
      </c>
      <c r="G258" t="s">
        <v>44</v>
      </c>
      <c r="H258" t="s">
        <v>63</v>
      </c>
      <c r="I258" t="s">
        <v>24</v>
      </c>
      <c r="J258" t="s">
        <v>25</v>
      </c>
      <c r="K258">
        <v>6</v>
      </c>
      <c r="L258" s="3">
        <v>22000</v>
      </c>
      <c r="M258" s="3">
        <v>12350</v>
      </c>
      <c r="N258">
        <v>0.15</v>
      </c>
      <c r="O258" t="s">
        <v>52</v>
      </c>
      <c r="P258" t="s">
        <v>48</v>
      </c>
      <c r="Q258" s="3">
        <f>Table13[[#This Row],[Quantity]]*Table13[[#This Row],[UnitPrice_NGN]]</f>
        <v>132000</v>
      </c>
      <c r="R258" s="9">
        <f>Table13[[#This Row],[GrossRevenue]]*(1-Table13[[#This Row],[DiscountRate]])</f>
        <v>112200</v>
      </c>
      <c r="S258" s="3">
        <f>Table13[[#This Row],[Quantity]]*Table13[[#This Row],[UnitCost_NGN]]</f>
        <v>74100</v>
      </c>
      <c r="T258" s="3">
        <f>Table13[[#This Row],[NetRevenue]]-Table13[[#This Row],[TotalCost]]</f>
        <v>38100</v>
      </c>
      <c r="U258" s="3"/>
    </row>
    <row r="259" spans="1:21" x14ac:dyDescent="0.25">
      <c r="A259" t="s">
        <v>533</v>
      </c>
      <c r="B259" s="20">
        <v>45963</v>
      </c>
      <c r="C259" t="s">
        <v>30</v>
      </c>
      <c r="D259" t="s">
        <v>88</v>
      </c>
      <c r="E259" t="s">
        <v>89</v>
      </c>
      <c r="F259" t="s">
        <v>43</v>
      </c>
      <c r="G259" t="s">
        <v>33</v>
      </c>
      <c r="H259" t="s">
        <v>112</v>
      </c>
      <c r="I259" t="s">
        <v>75</v>
      </c>
      <c r="J259" t="s">
        <v>36</v>
      </c>
      <c r="K259">
        <v>5</v>
      </c>
      <c r="L259" s="3">
        <v>180000</v>
      </c>
      <c r="M259" s="3">
        <v>136500</v>
      </c>
      <c r="N259">
        <v>0.05</v>
      </c>
      <c r="O259" t="s">
        <v>90</v>
      </c>
      <c r="P259" t="s">
        <v>48</v>
      </c>
      <c r="Q259" s="3">
        <f>Table13[[#This Row],[Quantity]]*Table13[[#This Row],[UnitPrice_NGN]]</f>
        <v>900000</v>
      </c>
      <c r="R259" s="9">
        <f>Table13[[#This Row],[GrossRevenue]]*(1-Table13[[#This Row],[DiscountRate]])</f>
        <v>855000</v>
      </c>
      <c r="S259" s="3">
        <f>Table13[[#This Row],[Quantity]]*Table13[[#This Row],[UnitCost_NGN]]</f>
        <v>682500</v>
      </c>
      <c r="T259" s="3">
        <f>Table13[[#This Row],[NetRevenue]]-Table13[[#This Row],[TotalCost]]</f>
        <v>172500</v>
      </c>
      <c r="U259" s="3"/>
    </row>
    <row r="260" spans="1:21" x14ac:dyDescent="0.25">
      <c r="A260" t="s">
        <v>534</v>
      </c>
      <c r="B260" s="20">
        <v>45743</v>
      </c>
      <c r="C260" t="s">
        <v>40</v>
      </c>
      <c r="D260" t="s">
        <v>120</v>
      </c>
      <c r="E260" t="s">
        <v>121</v>
      </c>
      <c r="F260" t="s">
        <v>122</v>
      </c>
      <c r="G260" t="s">
        <v>44</v>
      </c>
      <c r="H260" t="s">
        <v>34</v>
      </c>
      <c r="I260" t="s">
        <v>97</v>
      </c>
      <c r="J260" t="s">
        <v>56</v>
      </c>
      <c r="K260">
        <v>4</v>
      </c>
      <c r="L260" s="3">
        <v>131250</v>
      </c>
      <c r="M260" s="3">
        <v>85000</v>
      </c>
      <c r="N260">
        <v>0.1</v>
      </c>
      <c r="O260" t="s">
        <v>47</v>
      </c>
      <c r="P260" t="s">
        <v>72</v>
      </c>
      <c r="Q260" s="3">
        <f>Table13[[#This Row],[Quantity]]*Table13[[#This Row],[UnitPrice_NGN]]</f>
        <v>525000</v>
      </c>
      <c r="R260" s="9">
        <f>Table13[[#This Row],[GrossRevenue]]*(1-Table13[[#This Row],[DiscountRate]])</f>
        <v>472500</v>
      </c>
      <c r="S260" s="3">
        <f>Table13[[#This Row],[Quantity]]*Table13[[#This Row],[UnitCost_NGN]]</f>
        <v>340000</v>
      </c>
      <c r="T260" s="3">
        <f>Table13[[#This Row],[NetRevenue]]-Table13[[#This Row],[TotalCost]]</f>
        <v>132500</v>
      </c>
      <c r="U260" s="3"/>
    </row>
    <row r="261" spans="1:21" x14ac:dyDescent="0.25">
      <c r="A261" t="s">
        <v>535</v>
      </c>
      <c r="B261" s="20">
        <v>45727</v>
      </c>
      <c r="C261" t="s">
        <v>40</v>
      </c>
      <c r="D261" t="s">
        <v>131</v>
      </c>
      <c r="E261" t="s">
        <v>132</v>
      </c>
      <c r="F261" t="s">
        <v>80</v>
      </c>
      <c r="G261" t="s">
        <v>33</v>
      </c>
      <c r="H261" t="s">
        <v>112</v>
      </c>
      <c r="I261" t="s">
        <v>97</v>
      </c>
      <c r="J261" t="s">
        <v>56</v>
      </c>
      <c r="K261">
        <v>1</v>
      </c>
      <c r="L261" s="3">
        <v>125000</v>
      </c>
      <c r="M261" s="3">
        <v>80750</v>
      </c>
      <c r="N261">
        <v>0.05</v>
      </c>
      <c r="O261" t="s">
        <v>37</v>
      </c>
      <c r="P261" t="s">
        <v>48</v>
      </c>
      <c r="Q261" s="3">
        <f>Table13[[#This Row],[Quantity]]*Table13[[#This Row],[UnitPrice_NGN]]</f>
        <v>125000</v>
      </c>
      <c r="R261" s="9">
        <f>Table13[[#This Row],[GrossRevenue]]*(1-Table13[[#This Row],[DiscountRate]])</f>
        <v>118750</v>
      </c>
      <c r="S261" s="3">
        <f>Table13[[#This Row],[Quantity]]*Table13[[#This Row],[UnitCost_NGN]]</f>
        <v>80750</v>
      </c>
      <c r="T261" s="3">
        <f>Table13[[#This Row],[NetRevenue]]-Table13[[#This Row],[TotalCost]]</f>
        <v>38000</v>
      </c>
      <c r="U261" s="3"/>
    </row>
    <row r="262" spans="1:21" x14ac:dyDescent="0.25">
      <c r="A262" t="s">
        <v>537</v>
      </c>
      <c r="B262" s="20">
        <v>45947</v>
      </c>
      <c r="C262" t="s">
        <v>18</v>
      </c>
      <c r="D262" t="s">
        <v>136</v>
      </c>
      <c r="E262" t="s">
        <v>137</v>
      </c>
      <c r="F262" t="s">
        <v>122</v>
      </c>
      <c r="G262" t="s">
        <v>62</v>
      </c>
      <c r="H262" t="s">
        <v>96</v>
      </c>
      <c r="I262" t="s">
        <v>55</v>
      </c>
      <c r="J262" t="s">
        <v>56</v>
      </c>
      <c r="K262">
        <v>8</v>
      </c>
      <c r="L262" s="3">
        <v>48000</v>
      </c>
      <c r="M262" s="3">
        <v>30000</v>
      </c>
      <c r="N262">
        <v>0</v>
      </c>
      <c r="O262" t="s">
        <v>57</v>
      </c>
      <c r="P262" t="s">
        <v>48</v>
      </c>
      <c r="Q262" s="3">
        <f>Table13[[#This Row],[Quantity]]*Table13[[#This Row],[UnitPrice_NGN]]</f>
        <v>384000</v>
      </c>
      <c r="R262" s="9">
        <f>Table13[[#This Row],[GrossRevenue]]*(1-Table13[[#This Row],[DiscountRate]])</f>
        <v>384000</v>
      </c>
      <c r="S262" s="3">
        <f>Table13[[#This Row],[Quantity]]*Table13[[#This Row],[UnitCost_NGN]]</f>
        <v>240000</v>
      </c>
      <c r="T262" s="3">
        <f>Table13[[#This Row],[NetRevenue]]-Table13[[#This Row],[TotalCost]]</f>
        <v>144000</v>
      </c>
      <c r="U262" s="3"/>
    </row>
    <row r="263" spans="1:21" x14ac:dyDescent="0.25">
      <c r="A263" t="s">
        <v>539</v>
      </c>
      <c r="B263" s="20">
        <v>45911</v>
      </c>
      <c r="C263" t="s">
        <v>30</v>
      </c>
      <c r="D263" t="s">
        <v>78</v>
      </c>
      <c r="E263" t="s">
        <v>79</v>
      </c>
      <c r="F263" t="s">
        <v>80</v>
      </c>
      <c r="G263" t="s">
        <v>22</v>
      </c>
      <c r="H263" t="s">
        <v>23</v>
      </c>
      <c r="I263" t="s">
        <v>113</v>
      </c>
      <c r="J263" t="s">
        <v>36</v>
      </c>
      <c r="K263">
        <v>2</v>
      </c>
      <c r="L263" s="3">
        <v>176000</v>
      </c>
      <c r="M263" s="3">
        <v>120750</v>
      </c>
      <c r="N263">
        <v>0.1</v>
      </c>
      <c r="O263" t="s">
        <v>52</v>
      </c>
      <c r="P263" t="s">
        <v>133</v>
      </c>
      <c r="Q263" s="3">
        <f>Table13[[#This Row],[Quantity]]*Table13[[#This Row],[UnitPrice_NGN]]</f>
        <v>352000</v>
      </c>
      <c r="R263" s="9">
        <f>Table13[[#This Row],[GrossRevenue]]*(1-Table13[[#This Row],[DiscountRate]])</f>
        <v>316800</v>
      </c>
      <c r="S263" s="3">
        <f>Table13[[#This Row],[Quantity]]*Table13[[#This Row],[UnitCost_NGN]]</f>
        <v>241500</v>
      </c>
      <c r="T263" s="3">
        <f>Table13[[#This Row],[NetRevenue]]-Table13[[#This Row],[TotalCost]]</f>
        <v>75300</v>
      </c>
      <c r="U263" s="3"/>
    </row>
    <row r="264" spans="1:21" x14ac:dyDescent="0.25">
      <c r="A264" t="s">
        <v>541</v>
      </c>
      <c r="B264" s="20">
        <v>45883</v>
      </c>
      <c r="C264" t="s">
        <v>18</v>
      </c>
      <c r="D264" t="s">
        <v>78</v>
      </c>
      <c r="E264" t="s">
        <v>79</v>
      </c>
      <c r="F264" t="s">
        <v>80</v>
      </c>
      <c r="G264" t="s">
        <v>33</v>
      </c>
      <c r="H264" t="s">
        <v>96</v>
      </c>
      <c r="I264" t="s">
        <v>70</v>
      </c>
      <c r="J264" t="s">
        <v>71</v>
      </c>
      <c r="K264">
        <v>8</v>
      </c>
      <c r="L264" s="3">
        <v>95000</v>
      </c>
      <c r="M264" s="3">
        <v>58900</v>
      </c>
      <c r="N264">
        <v>0.15</v>
      </c>
      <c r="O264" t="s">
        <v>64</v>
      </c>
      <c r="P264" t="s">
        <v>133</v>
      </c>
      <c r="Q264" s="3">
        <f>Table13[[#This Row],[Quantity]]*Table13[[#This Row],[UnitPrice_NGN]]</f>
        <v>760000</v>
      </c>
      <c r="R264" s="9">
        <f>Table13[[#This Row],[GrossRevenue]]*(1-Table13[[#This Row],[DiscountRate]])</f>
        <v>646000</v>
      </c>
      <c r="S264" s="3">
        <f>Table13[[#This Row],[Quantity]]*Table13[[#This Row],[UnitCost_NGN]]</f>
        <v>471200</v>
      </c>
      <c r="T264" s="3">
        <f>Table13[[#This Row],[NetRevenue]]-Table13[[#This Row],[TotalCost]]</f>
        <v>174800</v>
      </c>
      <c r="U264" s="3"/>
    </row>
    <row r="265" spans="1:21" x14ac:dyDescent="0.25">
      <c r="A265" t="s">
        <v>542</v>
      </c>
      <c r="B265" s="20">
        <v>45718</v>
      </c>
      <c r="C265" t="s">
        <v>18</v>
      </c>
      <c r="D265" t="s">
        <v>31</v>
      </c>
      <c r="E265" t="s">
        <v>32</v>
      </c>
      <c r="F265" t="s">
        <v>21</v>
      </c>
      <c r="G265" t="s">
        <v>62</v>
      </c>
      <c r="H265" t="s">
        <v>23</v>
      </c>
      <c r="I265" t="s">
        <v>70</v>
      </c>
      <c r="J265" t="s">
        <v>71</v>
      </c>
      <c r="K265">
        <v>3</v>
      </c>
      <c r="L265" s="3">
        <v>95000</v>
      </c>
      <c r="M265" s="3">
        <v>58900</v>
      </c>
      <c r="N265">
        <v>0.05</v>
      </c>
      <c r="O265" t="s">
        <v>26</v>
      </c>
      <c r="P265" t="s">
        <v>48</v>
      </c>
      <c r="Q265" s="3">
        <f>Table13[[#This Row],[Quantity]]*Table13[[#This Row],[UnitPrice_NGN]]</f>
        <v>285000</v>
      </c>
      <c r="R265" s="9">
        <f>Table13[[#This Row],[GrossRevenue]]*(1-Table13[[#This Row],[DiscountRate]])</f>
        <v>270750</v>
      </c>
      <c r="S265" s="3">
        <f>Table13[[#This Row],[Quantity]]*Table13[[#This Row],[UnitCost_NGN]]</f>
        <v>176700</v>
      </c>
      <c r="T265" s="3">
        <f>Table13[[#This Row],[NetRevenue]]-Table13[[#This Row],[TotalCost]]</f>
        <v>94050</v>
      </c>
      <c r="U265" s="3"/>
    </row>
    <row r="266" spans="1:21" x14ac:dyDescent="0.25">
      <c r="A266" t="s">
        <v>543</v>
      </c>
      <c r="B266" s="20">
        <v>45949</v>
      </c>
      <c r="C266" t="s">
        <v>30</v>
      </c>
      <c r="D266" t="s">
        <v>131</v>
      </c>
      <c r="E266" t="s">
        <v>132</v>
      </c>
      <c r="F266" t="s">
        <v>80</v>
      </c>
      <c r="G266" t="s">
        <v>62</v>
      </c>
      <c r="H266" t="s">
        <v>23</v>
      </c>
      <c r="I266" t="s">
        <v>75</v>
      </c>
      <c r="J266" t="s">
        <v>36</v>
      </c>
      <c r="K266">
        <v>1</v>
      </c>
      <c r="L266" s="3">
        <v>171000</v>
      </c>
      <c r="M266" s="3">
        <v>130000</v>
      </c>
      <c r="N266">
        <v>0</v>
      </c>
      <c r="O266" t="s">
        <v>90</v>
      </c>
      <c r="P266" t="s">
        <v>48</v>
      </c>
      <c r="Q266" s="3">
        <f>Table13[[#This Row],[Quantity]]*Table13[[#This Row],[UnitPrice_NGN]]</f>
        <v>171000</v>
      </c>
      <c r="R266" s="9">
        <f>Table13[[#This Row],[GrossRevenue]]*(1-Table13[[#This Row],[DiscountRate]])</f>
        <v>171000</v>
      </c>
      <c r="S266" s="3">
        <f>Table13[[#This Row],[Quantity]]*Table13[[#This Row],[UnitCost_NGN]]</f>
        <v>130000</v>
      </c>
      <c r="T266" s="3">
        <f>Table13[[#This Row],[NetRevenue]]-Table13[[#This Row],[TotalCost]]</f>
        <v>41000</v>
      </c>
      <c r="U266" s="3"/>
    </row>
    <row r="267" spans="1:21" x14ac:dyDescent="0.25">
      <c r="A267" t="s">
        <v>544</v>
      </c>
      <c r="B267" s="20">
        <v>46005</v>
      </c>
      <c r="C267" t="s">
        <v>18</v>
      </c>
      <c r="D267" t="s">
        <v>136</v>
      </c>
      <c r="E267" t="s">
        <v>137</v>
      </c>
      <c r="F267" t="s">
        <v>122</v>
      </c>
      <c r="G267" t="s">
        <v>33</v>
      </c>
      <c r="H267" t="s">
        <v>96</v>
      </c>
      <c r="I267" t="s">
        <v>105</v>
      </c>
      <c r="J267" t="s">
        <v>71</v>
      </c>
      <c r="K267">
        <v>2</v>
      </c>
      <c r="L267" s="3">
        <v>175000</v>
      </c>
      <c r="M267" s="3">
        <v>120000</v>
      </c>
      <c r="N267">
        <v>0.1</v>
      </c>
      <c r="O267" t="s">
        <v>57</v>
      </c>
      <c r="P267" t="s">
        <v>48</v>
      </c>
      <c r="Q267" s="3">
        <f>Table13[[#This Row],[Quantity]]*Table13[[#This Row],[UnitPrice_NGN]]</f>
        <v>350000</v>
      </c>
      <c r="R267" s="9">
        <f>Table13[[#This Row],[GrossRevenue]]*(1-Table13[[#This Row],[DiscountRate]])</f>
        <v>315000</v>
      </c>
      <c r="S267" s="3">
        <f>Table13[[#This Row],[Quantity]]*Table13[[#This Row],[UnitCost_NGN]]</f>
        <v>240000</v>
      </c>
      <c r="T267" s="3">
        <f>Table13[[#This Row],[NetRevenue]]-Table13[[#This Row],[TotalCost]]</f>
        <v>75000</v>
      </c>
      <c r="U267" s="3"/>
    </row>
    <row r="268" spans="1:21" x14ac:dyDescent="0.25">
      <c r="A268" t="s">
        <v>546</v>
      </c>
      <c r="B268" s="20">
        <v>46022</v>
      </c>
      <c r="C268" t="s">
        <v>18</v>
      </c>
      <c r="D268" t="s">
        <v>157</v>
      </c>
      <c r="E268" t="s">
        <v>158</v>
      </c>
      <c r="F268" t="s">
        <v>21</v>
      </c>
      <c r="G268" t="s">
        <v>33</v>
      </c>
      <c r="H268" t="s">
        <v>112</v>
      </c>
      <c r="I268" t="s">
        <v>24</v>
      </c>
      <c r="J268" t="s">
        <v>25</v>
      </c>
      <c r="K268">
        <v>5</v>
      </c>
      <c r="L268" s="3">
        <v>20900</v>
      </c>
      <c r="M268" s="3">
        <v>13000</v>
      </c>
      <c r="N268">
        <v>0</v>
      </c>
      <c r="O268" t="s">
        <v>90</v>
      </c>
      <c r="P268" t="s">
        <v>48</v>
      </c>
      <c r="Q268" s="3">
        <f>Table13[[#This Row],[Quantity]]*Table13[[#This Row],[UnitPrice_NGN]]</f>
        <v>104500</v>
      </c>
      <c r="R268" s="9">
        <f>Table13[[#This Row],[GrossRevenue]]*(1-Table13[[#This Row],[DiscountRate]])</f>
        <v>104500</v>
      </c>
      <c r="S268" s="3">
        <f>Table13[[#This Row],[Quantity]]*Table13[[#This Row],[UnitCost_NGN]]</f>
        <v>65000</v>
      </c>
      <c r="T268" s="3">
        <f>Table13[[#This Row],[NetRevenue]]-Table13[[#This Row],[TotalCost]]</f>
        <v>39500</v>
      </c>
      <c r="U268" s="3"/>
    </row>
    <row r="269" spans="1:21" x14ac:dyDescent="0.25">
      <c r="A269" t="s">
        <v>548</v>
      </c>
      <c r="B269" s="20">
        <v>45696</v>
      </c>
      <c r="C269" t="s">
        <v>18</v>
      </c>
      <c r="D269" t="s">
        <v>120</v>
      </c>
      <c r="E269" t="s">
        <v>121</v>
      </c>
      <c r="F269" t="s">
        <v>122</v>
      </c>
      <c r="G269" t="s">
        <v>33</v>
      </c>
      <c r="H269" t="s">
        <v>23</v>
      </c>
      <c r="I269" t="s">
        <v>45</v>
      </c>
      <c r="J269" t="s">
        <v>46</v>
      </c>
      <c r="K269">
        <v>2</v>
      </c>
      <c r="L269" s="3">
        <v>18500</v>
      </c>
      <c r="M269" s="3">
        <v>15225</v>
      </c>
      <c r="N269">
        <v>0.05</v>
      </c>
      <c r="O269" t="s">
        <v>57</v>
      </c>
      <c r="P269" t="s">
        <v>27</v>
      </c>
      <c r="Q269" s="3">
        <f>Table13[[#This Row],[Quantity]]*Table13[[#This Row],[UnitPrice_NGN]]</f>
        <v>37000</v>
      </c>
      <c r="R269" s="9">
        <f>Table13[[#This Row],[GrossRevenue]]*(1-Table13[[#This Row],[DiscountRate]])</f>
        <v>35150</v>
      </c>
      <c r="S269" s="3">
        <f>Table13[[#This Row],[Quantity]]*Table13[[#This Row],[UnitCost_NGN]]</f>
        <v>30450</v>
      </c>
      <c r="T269" s="3">
        <f>Table13[[#This Row],[NetRevenue]]-Table13[[#This Row],[TotalCost]]</f>
        <v>4700</v>
      </c>
      <c r="U269" s="3"/>
    </row>
    <row r="270" spans="1:21" x14ac:dyDescent="0.25">
      <c r="A270" t="s">
        <v>549</v>
      </c>
      <c r="B270" s="20">
        <v>45659</v>
      </c>
      <c r="C270" t="s">
        <v>18</v>
      </c>
      <c r="D270" t="s">
        <v>88</v>
      </c>
      <c r="E270" t="s">
        <v>89</v>
      </c>
      <c r="F270" t="s">
        <v>43</v>
      </c>
      <c r="G270" t="s">
        <v>33</v>
      </c>
      <c r="H270" t="s">
        <v>63</v>
      </c>
      <c r="I270" t="s">
        <v>102</v>
      </c>
      <c r="J270" t="s">
        <v>25</v>
      </c>
      <c r="K270">
        <v>3</v>
      </c>
      <c r="L270" s="3">
        <v>42000</v>
      </c>
      <c r="M270" s="3">
        <v>26000</v>
      </c>
      <c r="N270">
        <v>0.1</v>
      </c>
      <c r="O270" t="s">
        <v>52</v>
      </c>
      <c r="P270" t="s">
        <v>27</v>
      </c>
      <c r="Q270" s="3">
        <f>Table13[[#This Row],[Quantity]]*Table13[[#This Row],[UnitPrice_NGN]]</f>
        <v>126000</v>
      </c>
      <c r="R270" s="9">
        <f>Table13[[#This Row],[GrossRevenue]]*(1-Table13[[#This Row],[DiscountRate]])</f>
        <v>113400</v>
      </c>
      <c r="S270" s="3">
        <f>Table13[[#This Row],[Quantity]]*Table13[[#This Row],[UnitCost_NGN]]</f>
        <v>78000</v>
      </c>
      <c r="T270" s="3">
        <f>Table13[[#This Row],[NetRevenue]]-Table13[[#This Row],[TotalCost]]</f>
        <v>35400</v>
      </c>
      <c r="U270" s="3"/>
    </row>
    <row r="271" spans="1:21" x14ac:dyDescent="0.25">
      <c r="A271" t="s">
        <v>550</v>
      </c>
      <c r="B271" s="20">
        <v>45795</v>
      </c>
      <c r="C271" t="s">
        <v>40</v>
      </c>
      <c r="D271" t="s">
        <v>83</v>
      </c>
      <c r="E271" t="s">
        <v>84</v>
      </c>
      <c r="F271" t="s">
        <v>85</v>
      </c>
      <c r="G271" t="s">
        <v>62</v>
      </c>
      <c r="H271" t="s">
        <v>23</v>
      </c>
      <c r="I271" t="s">
        <v>93</v>
      </c>
      <c r="J271" t="s">
        <v>46</v>
      </c>
      <c r="K271">
        <v>2</v>
      </c>
      <c r="L271" s="3">
        <v>95000</v>
      </c>
      <c r="M271" s="3">
        <v>82000</v>
      </c>
      <c r="N271">
        <v>0.05</v>
      </c>
      <c r="O271" t="s">
        <v>90</v>
      </c>
      <c r="P271" t="s">
        <v>48</v>
      </c>
      <c r="Q271" s="3">
        <f>Table13[[#This Row],[Quantity]]*Table13[[#This Row],[UnitPrice_NGN]]</f>
        <v>190000</v>
      </c>
      <c r="R271" s="9">
        <f>Table13[[#This Row],[GrossRevenue]]*(1-Table13[[#This Row],[DiscountRate]])</f>
        <v>180500</v>
      </c>
      <c r="S271" s="3">
        <f>Table13[[#This Row],[Quantity]]*Table13[[#This Row],[UnitCost_NGN]]</f>
        <v>164000</v>
      </c>
      <c r="T271" s="3">
        <f>Table13[[#This Row],[NetRevenue]]-Table13[[#This Row],[TotalCost]]</f>
        <v>16500</v>
      </c>
      <c r="U271" s="3"/>
    </row>
    <row r="272" spans="1:21" x14ac:dyDescent="0.25">
      <c r="A272" t="s">
        <v>551</v>
      </c>
      <c r="B272" s="20">
        <v>45708</v>
      </c>
      <c r="C272" t="s">
        <v>40</v>
      </c>
      <c r="D272" t="s">
        <v>110</v>
      </c>
      <c r="E272" t="s">
        <v>111</v>
      </c>
      <c r="F272" t="s">
        <v>85</v>
      </c>
      <c r="G272" t="s">
        <v>22</v>
      </c>
      <c r="H272" t="s">
        <v>96</v>
      </c>
      <c r="I272" t="s">
        <v>45</v>
      </c>
      <c r="J272" t="s">
        <v>46</v>
      </c>
      <c r="K272">
        <v>6</v>
      </c>
      <c r="L272" s="3">
        <v>19425</v>
      </c>
      <c r="M272" s="3">
        <v>13775</v>
      </c>
      <c r="N272">
        <v>0</v>
      </c>
      <c r="O272" t="s">
        <v>90</v>
      </c>
      <c r="P272" t="s">
        <v>27</v>
      </c>
      <c r="Q272" s="3">
        <f>Table13[[#This Row],[Quantity]]*Table13[[#This Row],[UnitPrice_NGN]]</f>
        <v>116550</v>
      </c>
      <c r="R272" s="9">
        <f>Table13[[#This Row],[GrossRevenue]]*(1-Table13[[#This Row],[DiscountRate]])</f>
        <v>116550</v>
      </c>
      <c r="S272" s="3">
        <f>Table13[[#This Row],[Quantity]]*Table13[[#This Row],[UnitCost_NGN]]</f>
        <v>82650</v>
      </c>
      <c r="T272" s="3">
        <f>Table13[[#This Row],[NetRevenue]]-Table13[[#This Row],[TotalCost]]</f>
        <v>33900</v>
      </c>
      <c r="U272" s="3"/>
    </row>
    <row r="273" spans="1:21" x14ac:dyDescent="0.25">
      <c r="A273" t="s">
        <v>553</v>
      </c>
      <c r="B273" s="20">
        <v>45725</v>
      </c>
      <c r="C273" t="s">
        <v>40</v>
      </c>
      <c r="D273" t="s">
        <v>110</v>
      </c>
      <c r="E273" t="s">
        <v>111</v>
      </c>
      <c r="F273" t="s">
        <v>85</v>
      </c>
      <c r="G273" t="s">
        <v>44</v>
      </c>
      <c r="H273" t="s">
        <v>63</v>
      </c>
      <c r="I273" t="s">
        <v>97</v>
      </c>
      <c r="J273" t="s">
        <v>56</v>
      </c>
      <c r="K273">
        <v>1</v>
      </c>
      <c r="L273" s="3">
        <v>125000</v>
      </c>
      <c r="M273" s="3">
        <v>85000</v>
      </c>
      <c r="N273">
        <v>0.15</v>
      </c>
      <c r="O273" t="s">
        <v>52</v>
      </c>
      <c r="P273" t="s">
        <v>27</v>
      </c>
      <c r="Q273" s="3">
        <f>Table13[[#This Row],[Quantity]]*Table13[[#This Row],[UnitPrice_NGN]]</f>
        <v>125000</v>
      </c>
      <c r="R273" s="9">
        <f>Table13[[#This Row],[GrossRevenue]]*(1-Table13[[#This Row],[DiscountRate]])</f>
        <v>106250</v>
      </c>
      <c r="S273" s="3">
        <f>Table13[[#This Row],[Quantity]]*Table13[[#This Row],[UnitCost_NGN]]</f>
        <v>85000</v>
      </c>
      <c r="T273" s="3">
        <f>Table13[[#This Row],[NetRevenue]]-Table13[[#This Row],[TotalCost]]</f>
        <v>21250</v>
      </c>
      <c r="U273" s="3"/>
    </row>
    <row r="274" spans="1:21" x14ac:dyDescent="0.25">
      <c r="A274" t="s">
        <v>555</v>
      </c>
      <c r="B274" s="20">
        <v>45860</v>
      </c>
      <c r="C274" t="s">
        <v>40</v>
      </c>
      <c r="D274" t="s">
        <v>88</v>
      </c>
      <c r="E274" t="s">
        <v>89</v>
      </c>
      <c r="F274" t="s">
        <v>43</v>
      </c>
      <c r="G274" t="s">
        <v>44</v>
      </c>
      <c r="H274" t="s">
        <v>112</v>
      </c>
      <c r="I274" t="s">
        <v>24</v>
      </c>
      <c r="J274" t="s">
        <v>25</v>
      </c>
      <c r="K274">
        <v>2</v>
      </c>
      <c r="L274" s="3">
        <v>22000</v>
      </c>
      <c r="M274" s="3">
        <v>13000</v>
      </c>
      <c r="N274">
        <v>0</v>
      </c>
      <c r="O274" t="s">
        <v>52</v>
      </c>
      <c r="P274" t="s">
        <v>27</v>
      </c>
      <c r="Q274" s="3">
        <f>Table13[[#This Row],[Quantity]]*Table13[[#This Row],[UnitPrice_NGN]]</f>
        <v>44000</v>
      </c>
      <c r="R274" s="9">
        <f>Table13[[#This Row],[GrossRevenue]]*(1-Table13[[#This Row],[DiscountRate]])</f>
        <v>44000</v>
      </c>
      <c r="S274" s="3">
        <f>Table13[[#This Row],[Quantity]]*Table13[[#This Row],[UnitCost_NGN]]</f>
        <v>26000</v>
      </c>
      <c r="T274" s="3">
        <f>Table13[[#This Row],[NetRevenue]]-Table13[[#This Row],[TotalCost]]</f>
        <v>18000</v>
      </c>
      <c r="U274" s="3"/>
    </row>
    <row r="275" spans="1:21" x14ac:dyDescent="0.25">
      <c r="A275" t="s">
        <v>557</v>
      </c>
      <c r="B275" s="20">
        <v>45961</v>
      </c>
      <c r="C275" t="s">
        <v>30</v>
      </c>
      <c r="D275" t="s">
        <v>19</v>
      </c>
      <c r="E275" t="s">
        <v>20</v>
      </c>
      <c r="F275" t="s">
        <v>21</v>
      </c>
      <c r="G275" t="s">
        <v>33</v>
      </c>
      <c r="H275" t="s">
        <v>96</v>
      </c>
      <c r="I275" t="s">
        <v>102</v>
      </c>
      <c r="J275" t="s">
        <v>25</v>
      </c>
      <c r="K275">
        <v>1</v>
      </c>
      <c r="L275" s="3">
        <v>42000</v>
      </c>
      <c r="M275" s="3">
        <v>24700</v>
      </c>
      <c r="N275">
        <v>0</v>
      </c>
      <c r="O275" t="s">
        <v>148</v>
      </c>
      <c r="P275" t="s">
        <v>48</v>
      </c>
      <c r="Q275" s="3">
        <f>Table13[[#This Row],[Quantity]]*Table13[[#This Row],[UnitPrice_NGN]]</f>
        <v>42000</v>
      </c>
      <c r="R275" s="9">
        <f>Table13[[#This Row],[GrossRevenue]]*(1-Table13[[#This Row],[DiscountRate]])</f>
        <v>42000</v>
      </c>
      <c r="S275" s="3">
        <f>Table13[[#This Row],[Quantity]]*Table13[[#This Row],[UnitCost_NGN]]</f>
        <v>24700</v>
      </c>
      <c r="T275" s="3">
        <f>Table13[[#This Row],[NetRevenue]]-Table13[[#This Row],[TotalCost]]</f>
        <v>17300</v>
      </c>
      <c r="U275" s="3"/>
    </row>
    <row r="276" spans="1:21" x14ac:dyDescent="0.25">
      <c r="A276" t="s">
        <v>558</v>
      </c>
      <c r="B276" s="20">
        <v>45725</v>
      </c>
      <c r="C276" t="s">
        <v>18</v>
      </c>
      <c r="D276" t="s">
        <v>88</v>
      </c>
      <c r="E276" t="s">
        <v>89</v>
      </c>
      <c r="F276" t="s">
        <v>43</v>
      </c>
      <c r="G276" t="s">
        <v>44</v>
      </c>
      <c r="H276" t="s">
        <v>112</v>
      </c>
      <c r="I276" t="s">
        <v>102</v>
      </c>
      <c r="J276" t="s">
        <v>25</v>
      </c>
      <c r="K276">
        <v>6</v>
      </c>
      <c r="L276" s="3">
        <v>46200</v>
      </c>
      <c r="M276" s="3">
        <v>27300</v>
      </c>
      <c r="N276">
        <v>0.15</v>
      </c>
      <c r="O276" t="s">
        <v>52</v>
      </c>
      <c r="P276" t="s">
        <v>72</v>
      </c>
      <c r="Q276" s="3">
        <f>Table13[[#This Row],[Quantity]]*Table13[[#This Row],[UnitPrice_NGN]]</f>
        <v>277200</v>
      </c>
      <c r="R276" s="9">
        <f>Table13[[#This Row],[GrossRevenue]]*(1-Table13[[#This Row],[DiscountRate]])</f>
        <v>235620</v>
      </c>
      <c r="S276" s="3">
        <f>Table13[[#This Row],[Quantity]]*Table13[[#This Row],[UnitCost_NGN]]</f>
        <v>163800</v>
      </c>
      <c r="T276" s="3">
        <f>Table13[[#This Row],[NetRevenue]]-Table13[[#This Row],[TotalCost]]</f>
        <v>71820</v>
      </c>
      <c r="U276" s="3"/>
    </row>
    <row r="277" spans="1:21" x14ac:dyDescent="0.25">
      <c r="A277" t="s">
        <v>559</v>
      </c>
      <c r="B277" s="20">
        <v>45853</v>
      </c>
      <c r="C277" t="s">
        <v>30</v>
      </c>
      <c r="D277" t="s">
        <v>19</v>
      </c>
      <c r="E277" t="s">
        <v>20</v>
      </c>
      <c r="F277" t="s">
        <v>21</v>
      </c>
      <c r="G277" t="s">
        <v>44</v>
      </c>
      <c r="H277" t="s">
        <v>96</v>
      </c>
      <c r="I277" t="s">
        <v>102</v>
      </c>
      <c r="J277" t="s">
        <v>25</v>
      </c>
      <c r="K277">
        <v>1</v>
      </c>
      <c r="L277" s="3">
        <v>42000</v>
      </c>
      <c r="M277" s="3">
        <v>26000</v>
      </c>
      <c r="N277">
        <v>0</v>
      </c>
      <c r="O277" t="s">
        <v>148</v>
      </c>
      <c r="P277" t="s">
        <v>48</v>
      </c>
      <c r="Q277" s="3">
        <f>Table13[[#This Row],[Quantity]]*Table13[[#This Row],[UnitPrice_NGN]]</f>
        <v>42000</v>
      </c>
      <c r="R277" s="9">
        <f>Table13[[#This Row],[GrossRevenue]]*(1-Table13[[#This Row],[DiscountRate]])</f>
        <v>42000</v>
      </c>
      <c r="S277" s="3">
        <f>Table13[[#This Row],[Quantity]]*Table13[[#This Row],[UnitCost_NGN]]</f>
        <v>26000</v>
      </c>
      <c r="T277" s="3">
        <f>Table13[[#This Row],[NetRevenue]]-Table13[[#This Row],[TotalCost]]</f>
        <v>16000</v>
      </c>
      <c r="U277" s="3"/>
    </row>
    <row r="278" spans="1:21" x14ac:dyDescent="0.25">
      <c r="A278" t="s">
        <v>560</v>
      </c>
      <c r="B278" s="20">
        <v>45735</v>
      </c>
      <c r="C278" t="s">
        <v>30</v>
      </c>
      <c r="D278" t="s">
        <v>120</v>
      </c>
      <c r="E278" t="s">
        <v>121</v>
      </c>
      <c r="F278" t="s">
        <v>122</v>
      </c>
      <c r="G278" t="s">
        <v>33</v>
      </c>
      <c r="H278" t="s">
        <v>34</v>
      </c>
      <c r="I278" t="s">
        <v>45</v>
      </c>
      <c r="J278" t="s">
        <v>46</v>
      </c>
      <c r="K278">
        <v>1</v>
      </c>
      <c r="L278" s="3">
        <v>18500</v>
      </c>
      <c r="M278" s="3">
        <v>14500</v>
      </c>
      <c r="N278">
        <v>0.15</v>
      </c>
      <c r="O278" t="s">
        <v>52</v>
      </c>
      <c r="P278" t="s">
        <v>72</v>
      </c>
      <c r="Q278" s="3">
        <f>Table13[[#This Row],[Quantity]]*Table13[[#This Row],[UnitPrice_NGN]]</f>
        <v>18500</v>
      </c>
      <c r="R278" s="9">
        <f>Table13[[#This Row],[GrossRevenue]]*(1-Table13[[#This Row],[DiscountRate]])</f>
        <v>15725</v>
      </c>
      <c r="S278" s="3">
        <f>Table13[[#This Row],[Quantity]]*Table13[[#This Row],[UnitCost_NGN]]</f>
        <v>14500</v>
      </c>
      <c r="T278" s="3">
        <f>Table13[[#This Row],[NetRevenue]]-Table13[[#This Row],[TotalCost]]</f>
        <v>1225</v>
      </c>
      <c r="U278" s="3"/>
    </row>
    <row r="279" spans="1:21" x14ac:dyDescent="0.25">
      <c r="A279" t="s">
        <v>561</v>
      </c>
      <c r="B279" s="20">
        <v>45877</v>
      </c>
      <c r="C279" t="s">
        <v>18</v>
      </c>
      <c r="D279" t="s">
        <v>157</v>
      </c>
      <c r="E279" t="s">
        <v>158</v>
      </c>
      <c r="F279" t="s">
        <v>21</v>
      </c>
      <c r="G279" t="s">
        <v>44</v>
      </c>
      <c r="H279" t="s">
        <v>63</v>
      </c>
      <c r="I279" t="s">
        <v>51</v>
      </c>
      <c r="J279" t="s">
        <v>36</v>
      </c>
      <c r="K279">
        <v>6</v>
      </c>
      <c r="L279" s="3">
        <v>280000</v>
      </c>
      <c r="M279" s="3">
        <v>220500</v>
      </c>
      <c r="N279">
        <v>0</v>
      </c>
      <c r="O279" t="s">
        <v>52</v>
      </c>
      <c r="P279" t="s">
        <v>48</v>
      </c>
      <c r="Q279" s="3">
        <f>Table13[[#This Row],[Quantity]]*Table13[[#This Row],[UnitPrice_NGN]]</f>
        <v>1680000</v>
      </c>
      <c r="R279" s="9">
        <f>Table13[[#This Row],[GrossRevenue]]*(1-Table13[[#This Row],[DiscountRate]])</f>
        <v>1680000</v>
      </c>
      <c r="S279" s="3">
        <f>Table13[[#This Row],[Quantity]]*Table13[[#This Row],[UnitCost_NGN]]</f>
        <v>1323000</v>
      </c>
      <c r="T279" s="3">
        <f>Table13[[#This Row],[NetRevenue]]-Table13[[#This Row],[TotalCost]]</f>
        <v>357000</v>
      </c>
      <c r="U279" s="3"/>
    </row>
    <row r="280" spans="1:21" x14ac:dyDescent="0.25">
      <c r="A280" t="s">
        <v>562</v>
      </c>
      <c r="B280" s="20">
        <v>45671</v>
      </c>
      <c r="C280" t="s">
        <v>40</v>
      </c>
      <c r="D280" t="s">
        <v>78</v>
      </c>
      <c r="E280" t="s">
        <v>79</v>
      </c>
      <c r="F280" t="s">
        <v>80</v>
      </c>
      <c r="G280" t="s">
        <v>44</v>
      </c>
      <c r="H280" t="s">
        <v>23</v>
      </c>
      <c r="I280" t="s">
        <v>113</v>
      </c>
      <c r="J280" t="s">
        <v>36</v>
      </c>
      <c r="K280">
        <v>4</v>
      </c>
      <c r="L280" s="3">
        <v>168000</v>
      </c>
      <c r="M280" s="3">
        <v>115000</v>
      </c>
      <c r="N280">
        <v>0.15</v>
      </c>
      <c r="O280" t="s">
        <v>64</v>
      </c>
      <c r="P280" t="s">
        <v>27</v>
      </c>
      <c r="Q280" s="3">
        <f>Table13[[#This Row],[Quantity]]*Table13[[#This Row],[UnitPrice_NGN]]</f>
        <v>672000</v>
      </c>
      <c r="R280" s="9">
        <f>Table13[[#This Row],[GrossRevenue]]*(1-Table13[[#This Row],[DiscountRate]])</f>
        <v>571200</v>
      </c>
      <c r="S280" s="3">
        <f>Table13[[#This Row],[Quantity]]*Table13[[#This Row],[UnitCost_NGN]]</f>
        <v>460000</v>
      </c>
      <c r="T280" s="3">
        <f>Table13[[#This Row],[NetRevenue]]-Table13[[#This Row],[TotalCost]]</f>
        <v>111200</v>
      </c>
      <c r="U280" s="3"/>
    </row>
    <row r="281" spans="1:21" x14ac:dyDescent="0.25">
      <c r="A281" t="s">
        <v>564</v>
      </c>
      <c r="B281" s="20">
        <v>45855</v>
      </c>
      <c r="C281" t="s">
        <v>18</v>
      </c>
      <c r="D281" t="s">
        <v>83</v>
      </c>
      <c r="E281" t="s">
        <v>84</v>
      </c>
      <c r="F281" t="s">
        <v>85</v>
      </c>
      <c r="G281" t="s">
        <v>33</v>
      </c>
      <c r="H281" t="s">
        <v>23</v>
      </c>
      <c r="I281" t="s">
        <v>102</v>
      </c>
      <c r="J281" t="s">
        <v>25</v>
      </c>
      <c r="K281">
        <v>2</v>
      </c>
      <c r="L281" s="3">
        <v>37800</v>
      </c>
      <c r="M281" s="3">
        <v>26000</v>
      </c>
      <c r="N281">
        <v>0.05</v>
      </c>
      <c r="O281" t="s">
        <v>52</v>
      </c>
      <c r="P281" t="s">
        <v>48</v>
      </c>
      <c r="Q281" s="3">
        <f>Table13[[#This Row],[Quantity]]*Table13[[#This Row],[UnitPrice_NGN]]</f>
        <v>75600</v>
      </c>
      <c r="R281" s="9">
        <f>Table13[[#This Row],[GrossRevenue]]*(1-Table13[[#This Row],[DiscountRate]])</f>
        <v>71820</v>
      </c>
      <c r="S281" s="3">
        <f>Table13[[#This Row],[Quantity]]*Table13[[#This Row],[UnitCost_NGN]]</f>
        <v>52000</v>
      </c>
      <c r="T281" s="3">
        <f>Table13[[#This Row],[NetRevenue]]-Table13[[#This Row],[TotalCost]]</f>
        <v>19820</v>
      </c>
      <c r="U281" s="3"/>
    </row>
    <row r="282" spans="1:21" x14ac:dyDescent="0.25">
      <c r="A282" t="s">
        <v>566</v>
      </c>
      <c r="B282" s="20">
        <v>45949</v>
      </c>
      <c r="C282" t="s">
        <v>40</v>
      </c>
      <c r="D282" t="s">
        <v>31</v>
      </c>
      <c r="E282" t="s">
        <v>32</v>
      </c>
      <c r="F282" t="s">
        <v>21</v>
      </c>
      <c r="G282" t="s">
        <v>44</v>
      </c>
      <c r="H282" t="s">
        <v>112</v>
      </c>
      <c r="I282" t="s">
        <v>93</v>
      </c>
      <c r="J282" t="s">
        <v>46</v>
      </c>
      <c r="K282">
        <v>15</v>
      </c>
      <c r="L282" s="3">
        <v>95000</v>
      </c>
      <c r="M282" s="3">
        <v>82000</v>
      </c>
      <c r="N282">
        <v>0.05</v>
      </c>
      <c r="O282" t="s">
        <v>52</v>
      </c>
      <c r="P282" t="s">
        <v>72</v>
      </c>
      <c r="Q282" s="3">
        <f>Table13[[#This Row],[Quantity]]*Table13[[#This Row],[UnitPrice_NGN]]</f>
        <v>1425000</v>
      </c>
      <c r="R282" s="9">
        <f>Table13[[#This Row],[GrossRevenue]]*(1-Table13[[#This Row],[DiscountRate]])</f>
        <v>1353750</v>
      </c>
      <c r="S282" s="3">
        <f>Table13[[#This Row],[Quantity]]*Table13[[#This Row],[UnitCost_NGN]]</f>
        <v>1230000</v>
      </c>
      <c r="T282" s="3">
        <f>Table13[[#This Row],[NetRevenue]]-Table13[[#This Row],[TotalCost]]</f>
        <v>123750</v>
      </c>
      <c r="U282" s="3"/>
    </row>
    <row r="283" spans="1:21" x14ac:dyDescent="0.25">
      <c r="A283" t="s">
        <v>567</v>
      </c>
      <c r="B283" s="20">
        <v>45688</v>
      </c>
      <c r="C283" t="s">
        <v>30</v>
      </c>
      <c r="D283" t="s">
        <v>131</v>
      </c>
      <c r="E283" t="s">
        <v>132</v>
      </c>
      <c r="F283" t="s">
        <v>80</v>
      </c>
      <c r="G283" t="s">
        <v>62</v>
      </c>
      <c r="H283" t="s">
        <v>23</v>
      </c>
      <c r="I283" t="s">
        <v>35</v>
      </c>
      <c r="J283" t="s">
        <v>36</v>
      </c>
      <c r="K283">
        <v>1</v>
      </c>
      <c r="L283" s="3">
        <v>450000</v>
      </c>
      <c r="M283" s="3">
        <v>350000</v>
      </c>
      <c r="N283">
        <v>0</v>
      </c>
      <c r="O283" t="s">
        <v>26</v>
      </c>
      <c r="P283" t="s">
        <v>72</v>
      </c>
      <c r="Q283" s="3">
        <f>Table13[[#This Row],[Quantity]]*Table13[[#This Row],[UnitPrice_NGN]]</f>
        <v>450000</v>
      </c>
      <c r="R283" s="9">
        <f>Table13[[#This Row],[GrossRevenue]]*(1-Table13[[#This Row],[DiscountRate]])</f>
        <v>450000</v>
      </c>
      <c r="S283" s="3">
        <f>Table13[[#This Row],[Quantity]]*Table13[[#This Row],[UnitCost_NGN]]</f>
        <v>350000</v>
      </c>
      <c r="T283" s="3">
        <f>Table13[[#This Row],[NetRevenue]]-Table13[[#This Row],[TotalCost]]</f>
        <v>100000</v>
      </c>
      <c r="U283" s="3"/>
    </row>
    <row r="284" spans="1:21" x14ac:dyDescent="0.25">
      <c r="A284" t="s">
        <v>569</v>
      </c>
      <c r="B284" s="20">
        <v>45700</v>
      </c>
      <c r="C284" t="s">
        <v>18</v>
      </c>
      <c r="D284" t="s">
        <v>136</v>
      </c>
      <c r="E284" t="s">
        <v>137</v>
      </c>
      <c r="F284" t="s">
        <v>122</v>
      </c>
      <c r="G284" t="s">
        <v>44</v>
      </c>
      <c r="H284" t="s">
        <v>34</v>
      </c>
      <c r="I284" t="s">
        <v>55</v>
      </c>
      <c r="J284" t="s">
        <v>56</v>
      </c>
      <c r="K284">
        <v>3</v>
      </c>
      <c r="L284" s="3">
        <v>50400</v>
      </c>
      <c r="M284" s="3">
        <v>30000</v>
      </c>
      <c r="N284">
        <v>0</v>
      </c>
      <c r="O284" t="s">
        <v>47</v>
      </c>
      <c r="P284" t="s">
        <v>48</v>
      </c>
      <c r="Q284" s="3">
        <f>Table13[[#This Row],[Quantity]]*Table13[[#This Row],[UnitPrice_NGN]]</f>
        <v>151200</v>
      </c>
      <c r="R284" s="9">
        <f>Table13[[#This Row],[GrossRevenue]]*(1-Table13[[#This Row],[DiscountRate]])</f>
        <v>151200</v>
      </c>
      <c r="S284" s="3">
        <f>Table13[[#This Row],[Quantity]]*Table13[[#This Row],[UnitCost_NGN]]</f>
        <v>90000</v>
      </c>
      <c r="T284" s="3">
        <f>Table13[[#This Row],[NetRevenue]]-Table13[[#This Row],[TotalCost]]</f>
        <v>61200</v>
      </c>
      <c r="U284" s="3"/>
    </row>
    <row r="285" spans="1:21" x14ac:dyDescent="0.25">
      <c r="A285" t="s">
        <v>571</v>
      </c>
      <c r="B285" s="20">
        <v>46015</v>
      </c>
      <c r="C285" t="s">
        <v>30</v>
      </c>
      <c r="D285" t="s">
        <v>131</v>
      </c>
      <c r="E285" t="s">
        <v>132</v>
      </c>
      <c r="F285" t="s">
        <v>80</v>
      </c>
      <c r="G285" t="s">
        <v>44</v>
      </c>
      <c r="H285" t="s">
        <v>96</v>
      </c>
      <c r="I285" t="s">
        <v>55</v>
      </c>
      <c r="J285" t="s">
        <v>56</v>
      </c>
      <c r="K285">
        <v>4</v>
      </c>
      <c r="L285" s="3">
        <v>52800</v>
      </c>
      <c r="M285" s="3">
        <v>28500</v>
      </c>
      <c r="N285">
        <v>0</v>
      </c>
      <c r="O285" t="s">
        <v>64</v>
      </c>
      <c r="P285" t="s">
        <v>72</v>
      </c>
      <c r="Q285" s="3">
        <f>Table13[[#This Row],[Quantity]]*Table13[[#This Row],[UnitPrice_NGN]]</f>
        <v>211200</v>
      </c>
      <c r="R285" s="9">
        <f>Table13[[#This Row],[GrossRevenue]]*(1-Table13[[#This Row],[DiscountRate]])</f>
        <v>211200</v>
      </c>
      <c r="S285" s="3">
        <f>Table13[[#This Row],[Quantity]]*Table13[[#This Row],[UnitCost_NGN]]</f>
        <v>114000</v>
      </c>
      <c r="T285" s="3">
        <f>Table13[[#This Row],[NetRevenue]]-Table13[[#This Row],[TotalCost]]</f>
        <v>97200</v>
      </c>
      <c r="U285" s="3"/>
    </row>
    <row r="286" spans="1:21" x14ac:dyDescent="0.25">
      <c r="A286" t="s">
        <v>573</v>
      </c>
      <c r="B286" s="20">
        <v>45999</v>
      </c>
      <c r="C286" t="s">
        <v>30</v>
      </c>
      <c r="D286" t="s">
        <v>83</v>
      </c>
      <c r="E286" t="s">
        <v>84</v>
      </c>
      <c r="F286" t="s">
        <v>85</v>
      </c>
      <c r="G286" t="s">
        <v>44</v>
      </c>
      <c r="H286" t="s">
        <v>96</v>
      </c>
      <c r="I286" t="s">
        <v>51</v>
      </c>
      <c r="J286" t="s">
        <v>36</v>
      </c>
      <c r="K286">
        <v>1</v>
      </c>
      <c r="L286" s="3">
        <v>280000</v>
      </c>
      <c r="M286" s="3">
        <v>199500</v>
      </c>
      <c r="N286">
        <v>0</v>
      </c>
      <c r="O286" t="s">
        <v>148</v>
      </c>
      <c r="P286" t="s">
        <v>27</v>
      </c>
      <c r="Q286" s="3">
        <f>Table13[[#This Row],[Quantity]]*Table13[[#This Row],[UnitPrice_NGN]]</f>
        <v>280000</v>
      </c>
      <c r="R286" s="9">
        <f>Table13[[#This Row],[GrossRevenue]]*(1-Table13[[#This Row],[DiscountRate]])</f>
        <v>280000</v>
      </c>
      <c r="S286" s="3">
        <f>Table13[[#This Row],[Quantity]]*Table13[[#This Row],[UnitCost_NGN]]</f>
        <v>199500</v>
      </c>
      <c r="T286" s="3">
        <f>Table13[[#This Row],[NetRevenue]]-Table13[[#This Row],[TotalCost]]</f>
        <v>80500</v>
      </c>
      <c r="U286" s="3"/>
    </row>
    <row r="287" spans="1:21" x14ac:dyDescent="0.25">
      <c r="A287" t="s">
        <v>574</v>
      </c>
      <c r="B287" s="20">
        <v>45925</v>
      </c>
      <c r="C287" t="s">
        <v>30</v>
      </c>
      <c r="D287" t="s">
        <v>157</v>
      </c>
      <c r="E287" t="s">
        <v>158</v>
      </c>
      <c r="F287" t="s">
        <v>21</v>
      </c>
      <c r="G287" t="s">
        <v>62</v>
      </c>
      <c r="H287" t="s">
        <v>34</v>
      </c>
      <c r="I287" t="s">
        <v>102</v>
      </c>
      <c r="J287" t="s">
        <v>25</v>
      </c>
      <c r="K287">
        <v>5</v>
      </c>
      <c r="L287" s="3">
        <v>39900</v>
      </c>
      <c r="M287" s="3">
        <v>27300</v>
      </c>
      <c r="N287">
        <v>0</v>
      </c>
      <c r="O287" t="s">
        <v>47</v>
      </c>
      <c r="P287" t="s">
        <v>133</v>
      </c>
      <c r="Q287" s="3">
        <f>Table13[[#This Row],[Quantity]]*Table13[[#This Row],[UnitPrice_NGN]]</f>
        <v>199500</v>
      </c>
      <c r="R287" s="9">
        <f>Table13[[#This Row],[GrossRevenue]]*(1-Table13[[#This Row],[DiscountRate]])</f>
        <v>199500</v>
      </c>
      <c r="S287" s="3">
        <f>Table13[[#This Row],[Quantity]]*Table13[[#This Row],[UnitCost_NGN]]</f>
        <v>136500</v>
      </c>
      <c r="T287" s="3">
        <f>Table13[[#This Row],[NetRevenue]]-Table13[[#This Row],[TotalCost]]</f>
        <v>63000</v>
      </c>
      <c r="U287" s="3"/>
    </row>
    <row r="288" spans="1:21" x14ac:dyDescent="0.25">
      <c r="A288" t="s">
        <v>576</v>
      </c>
      <c r="B288" s="20">
        <v>45829</v>
      </c>
      <c r="C288" t="s">
        <v>40</v>
      </c>
      <c r="D288" t="s">
        <v>136</v>
      </c>
      <c r="E288" t="s">
        <v>137</v>
      </c>
      <c r="F288" t="s">
        <v>122</v>
      </c>
      <c r="G288" t="s">
        <v>22</v>
      </c>
      <c r="H288" t="s">
        <v>63</v>
      </c>
      <c r="I288" t="s">
        <v>75</v>
      </c>
      <c r="J288" t="s">
        <v>36</v>
      </c>
      <c r="K288">
        <v>6</v>
      </c>
      <c r="L288" s="3">
        <v>180000</v>
      </c>
      <c r="M288" s="3">
        <v>123500</v>
      </c>
      <c r="N288">
        <v>0</v>
      </c>
      <c r="O288" t="s">
        <v>52</v>
      </c>
      <c r="P288" t="s">
        <v>72</v>
      </c>
      <c r="Q288" s="3">
        <f>Table13[[#This Row],[Quantity]]*Table13[[#This Row],[UnitPrice_NGN]]</f>
        <v>1080000</v>
      </c>
      <c r="R288" s="9">
        <f>Table13[[#This Row],[GrossRevenue]]*(1-Table13[[#This Row],[DiscountRate]])</f>
        <v>1080000</v>
      </c>
      <c r="S288" s="3">
        <f>Table13[[#This Row],[Quantity]]*Table13[[#This Row],[UnitCost_NGN]]</f>
        <v>741000</v>
      </c>
      <c r="T288" s="3">
        <f>Table13[[#This Row],[NetRevenue]]-Table13[[#This Row],[TotalCost]]</f>
        <v>339000</v>
      </c>
      <c r="U288" s="3"/>
    </row>
    <row r="289" spans="1:21" x14ac:dyDescent="0.25">
      <c r="A289" t="s">
        <v>578</v>
      </c>
      <c r="B289" s="20">
        <v>45743</v>
      </c>
      <c r="C289" t="s">
        <v>18</v>
      </c>
      <c r="D289" t="s">
        <v>110</v>
      </c>
      <c r="E289" t="s">
        <v>111</v>
      </c>
      <c r="F289" t="s">
        <v>85</v>
      </c>
      <c r="G289" t="s">
        <v>62</v>
      </c>
      <c r="H289" t="s">
        <v>96</v>
      </c>
      <c r="I289" t="s">
        <v>97</v>
      </c>
      <c r="J289" t="s">
        <v>56</v>
      </c>
      <c r="K289">
        <v>3</v>
      </c>
      <c r="L289" s="3">
        <v>112500</v>
      </c>
      <c r="M289" s="3">
        <v>89250</v>
      </c>
      <c r="N289">
        <v>0.1</v>
      </c>
      <c r="O289" t="s">
        <v>52</v>
      </c>
      <c r="P289" t="s">
        <v>48</v>
      </c>
      <c r="Q289" s="3">
        <f>Table13[[#This Row],[Quantity]]*Table13[[#This Row],[UnitPrice_NGN]]</f>
        <v>337500</v>
      </c>
      <c r="R289" s="9">
        <f>Table13[[#This Row],[GrossRevenue]]*(1-Table13[[#This Row],[DiscountRate]])</f>
        <v>303750</v>
      </c>
      <c r="S289" s="3">
        <f>Table13[[#This Row],[Quantity]]*Table13[[#This Row],[UnitCost_NGN]]</f>
        <v>267750</v>
      </c>
      <c r="T289" s="3">
        <f>Table13[[#This Row],[NetRevenue]]-Table13[[#This Row],[TotalCost]]</f>
        <v>36000</v>
      </c>
      <c r="U289" s="3"/>
    </row>
    <row r="290" spans="1:21" x14ac:dyDescent="0.25">
      <c r="A290" t="s">
        <v>579</v>
      </c>
      <c r="B290" s="20">
        <v>45681</v>
      </c>
      <c r="C290" t="s">
        <v>40</v>
      </c>
      <c r="D290" t="s">
        <v>136</v>
      </c>
      <c r="E290" t="s">
        <v>137</v>
      </c>
      <c r="F290" t="s">
        <v>122</v>
      </c>
      <c r="G290" t="s">
        <v>33</v>
      </c>
      <c r="H290" t="s">
        <v>34</v>
      </c>
      <c r="I290" t="s">
        <v>113</v>
      </c>
      <c r="J290" t="s">
        <v>36</v>
      </c>
      <c r="K290">
        <v>3</v>
      </c>
      <c r="L290" s="3">
        <v>144000</v>
      </c>
      <c r="M290" s="3">
        <v>109250</v>
      </c>
      <c r="N290">
        <v>0</v>
      </c>
      <c r="O290" t="s">
        <v>90</v>
      </c>
      <c r="P290" t="s">
        <v>72</v>
      </c>
      <c r="Q290" s="3">
        <f>Table13[[#This Row],[Quantity]]*Table13[[#This Row],[UnitPrice_NGN]]</f>
        <v>432000</v>
      </c>
      <c r="R290" s="9">
        <f>Table13[[#This Row],[GrossRevenue]]*(1-Table13[[#This Row],[DiscountRate]])</f>
        <v>432000</v>
      </c>
      <c r="S290" s="3">
        <f>Table13[[#This Row],[Quantity]]*Table13[[#This Row],[UnitCost_NGN]]</f>
        <v>327750</v>
      </c>
      <c r="T290" s="3">
        <f>Table13[[#This Row],[NetRevenue]]-Table13[[#This Row],[TotalCost]]</f>
        <v>104250</v>
      </c>
      <c r="U290" s="3"/>
    </row>
    <row r="291" spans="1:21" x14ac:dyDescent="0.25">
      <c r="A291" t="s">
        <v>581</v>
      </c>
      <c r="B291" s="20">
        <v>45822</v>
      </c>
      <c r="C291" t="s">
        <v>40</v>
      </c>
      <c r="D291" t="s">
        <v>78</v>
      </c>
      <c r="E291" t="s">
        <v>79</v>
      </c>
      <c r="F291" t="s">
        <v>80</v>
      </c>
      <c r="G291" t="s">
        <v>62</v>
      </c>
      <c r="H291" t="s">
        <v>63</v>
      </c>
      <c r="I291" t="s">
        <v>35</v>
      </c>
      <c r="J291" t="s">
        <v>36</v>
      </c>
      <c r="K291">
        <v>6</v>
      </c>
      <c r="L291" s="3">
        <v>472500</v>
      </c>
      <c r="M291" s="3">
        <v>367500</v>
      </c>
      <c r="N291">
        <v>0</v>
      </c>
      <c r="O291" t="s">
        <v>52</v>
      </c>
      <c r="P291" t="s">
        <v>48</v>
      </c>
      <c r="Q291" s="3">
        <f>Table13[[#This Row],[Quantity]]*Table13[[#This Row],[UnitPrice_NGN]]</f>
        <v>2835000</v>
      </c>
      <c r="R291" s="9">
        <f>Table13[[#This Row],[GrossRevenue]]*(1-Table13[[#This Row],[DiscountRate]])</f>
        <v>2835000</v>
      </c>
      <c r="S291" s="3">
        <f>Table13[[#This Row],[Quantity]]*Table13[[#This Row],[UnitCost_NGN]]</f>
        <v>2205000</v>
      </c>
      <c r="T291" s="3">
        <f>Table13[[#This Row],[NetRevenue]]-Table13[[#This Row],[TotalCost]]</f>
        <v>630000</v>
      </c>
      <c r="U291" s="3"/>
    </row>
    <row r="292" spans="1:21" x14ac:dyDescent="0.25">
      <c r="A292" t="s">
        <v>582</v>
      </c>
      <c r="B292" s="20">
        <v>45772</v>
      </c>
      <c r="C292" t="s">
        <v>18</v>
      </c>
      <c r="D292" t="s">
        <v>88</v>
      </c>
      <c r="E292" t="s">
        <v>89</v>
      </c>
      <c r="F292" t="s">
        <v>43</v>
      </c>
      <c r="G292" t="s">
        <v>33</v>
      </c>
      <c r="H292" t="s">
        <v>96</v>
      </c>
      <c r="I292" t="s">
        <v>45</v>
      </c>
      <c r="J292" t="s">
        <v>46</v>
      </c>
      <c r="K292">
        <v>1</v>
      </c>
      <c r="L292" s="3">
        <v>19425</v>
      </c>
      <c r="M292" s="3">
        <v>13775</v>
      </c>
      <c r="N292">
        <v>0</v>
      </c>
      <c r="O292" t="s">
        <v>37</v>
      </c>
      <c r="P292" t="s">
        <v>133</v>
      </c>
      <c r="Q292" s="3">
        <f>Table13[[#This Row],[Quantity]]*Table13[[#This Row],[UnitPrice_NGN]]</f>
        <v>19425</v>
      </c>
      <c r="R292" s="9">
        <f>Table13[[#This Row],[GrossRevenue]]*(1-Table13[[#This Row],[DiscountRate]])</f>
        <v>19425</v>
      </c>
      <c r="S292" s="3">
        <f>Table13[[#This Row],[Quantity]]*Table13[[#This Row],[UnitCost_NGN]]</f>
        <v>13775</v>
      </c>
      <c r="T292" s="3">
        <f>Table13[[#This Row],[NetRevenue]]-Table13[[#This Row],[TotalCost]]</f>
        <v>5650</v>
      </c>
      <c r="U292" s="3"/>
    </row>
    <row r="293" spans="1:21" x14ac:dyDescent="0.25">
      <c r="A293" t="s">
        <v>584</v>
      </c>
      <c r="B293" s="20">
        <v>45846</v>
      </c>
      <c r="C293" t="s">
        <v>40</v>
      </c>
      <c r="D293" t="s">
        <v>41</v>
      </c>
      <c r="E293" t="s">
        <v>42</v>
      </c>
      <c r="F293" t="s">
        <v>43</v>
      </c>
      <c r="G293" t="s">
        <v>62</v>
      </c>
      <c r="H293" t="s">
        <v>23</v>
      </c>
      <c r="I293" t="s">
        <v>70</v>
      </c>
      <c r="J293" t="s">
        <v>71</v>
      </c>
      <c r="K293">
        <v>2</v>
      </c>
      <c r="L293" s="3">
        <v>95000</v>
      </c>
      <c r="M293" s="3">
        <v>65100</v>
      </c>
      <c r="N293">
        <v>0</v>
      </c>
      <c r="O293" t="s">
        <v>64</v>
      </c>
      <c r="P293" t="s">
        <v>48</v>
      </c>
      <c r="Q293" s="3">
        <f>Table13[[#This Row],[Quantity]]*Table13[[#This Row],[UnitPrice_NGN]]</f>
        <v>190000</v>
      </c>
      <c r="R293" s="9">
        <f>Table13[[#This Row],[GrossRevenue]]*(1-Table13[[#This Row],[DiscountRate]])</f>
        <v>190000</v>
      </c>
      <c r="S293" s="3">
        <f>Table13[[#This Row],[Quantity]]*Table13[[#This Row],[UnitCost_NGN]]</f>
        <v>130200</v>
      </c>
      <c r="T293" s="3">
        <f>Table13[[#This Row],[NetRevenue]]-Table13[[#This Row],[TotalCost]]</f>
        <v>59800</v>
      </c>
      <c r="U293" s="3"/>
    </row>
    <row r="294" spans="1:21" x14ac:dyDescent="0.25">
      <c r="A294" t="s">
        <v>586</v>
      </c>
      <c r="B294" s="20">
        <v>45937</v>
      </c>
      <c r="C294" t="s">
        <v>18</v>
      </c>
      <c r="D294" t="s">
        <v>88</v>
      </c>
      <c r="E294" t="s">
        <v>89</v>
      </c>
      <c r="F294" t="s">
        <v>43</v>
      </c>
      <c r="G294" t="s">
        <v>22</v>
      </c>
      <c r="H294" t="s">
        <v>112</v>
      </c>
      <c r="I294" t="s">
        <v>97</v>
      </c>
      <c r="J294" t="s">
        <v>56</v>
      </c>
      <c r="K294">
        <v>4</v>
      </c>
      <c r="L294" s="3">
        <v>125000</v>
      </c>
      <c r="M294" s="3">
        <v>85000</v>
      </c>
      <c r="N294">
        <v>0.15</v>
      </c>
      <c r="O294" t="s">
        <v>148</v>
      </c>
      <c r="P294" t="s">
        <v>48</v>
      </c>
      <c r="Q294" s="3">
        <f>Table13[[#This Row],[Quantity]]*Table13[[#This Row],[UnitPrice_NGN]]</f>
        <v>500000</v>
      </c>
      <c r="R294" s="9">
        <f>Table13[[#This Row],[GrossRevenue]]*(1-Table13[[#This Row],[DiscountRate]])</f>
        <v>425000</v>
      </c>
      <c r="S294" s="3">
        <f>Table13[[#This Row],[Quantity]]*Table13[[#This Row],[UnitCost_NGN]]</f>
        <v>340000</v>
      </c>
      <c r="T294" s="3">
        <f>Table13[[#This Row],[NetRevenue]]-Table13[[#This Row],[TotalCost]]</f>
        <v>85000</v>
      </c>
      <c r="U294" s="3"/>
    </row>
    <row r="295" spans="1:21" x14ac:dyDescent="0.25">
      <c r="A295" t="s">
        <v>588</v>
      </c>
      <c r="B295" s="20">
        <v>45658</v>
      </c>
      <c r="C295" t="s">
        <v>40</v>
      </c>
      <c r="D295" t="s">
        <v>78</v>
      </c>
      <c r="E295" t="s">
        <v>79</v>
      </c>
      <c r="F295" t="s">
        <v>80</v>
      </c>
      <c r="G295" t="s">
        <v>62</v>
      </c>
      <c r="H295" t="s">
        <v>96</v>
      </c>
      <c r="I295" t="s">
        <v>113</v>
      </c>
      <c r="J295" t="s">
        <v>36</v>
      </c>
      <c r="K295">
        <v>2</v>
      </c>
      <c r="L295" s="3">
        <v>176000</v>
      </c>
      <c r="M295" s="3">
        <v>109250</v>
      </c>
      <c r="N295">
        <v>0</v>
      </c>
      <c r="O295" t="s">
        <v>64</v>
      </c>
      <c r="P295" t="s">
        <v>27</v>
      </c>
      <c r="Q295" s="3">
        <f>Table13[[#This Row],[Quantity]]*Table13[[#This Row],[UnitPrice_NGN]]</f>
        <v>352000</v>
      </c>
      <c r="R295" s="9">
        <f>Table13[[#This Row],[GrossRevenue]]*(1-Table13[[#This Row],[DiscountRate]])</f>
        <v>352000</v>
      </c>
      <c r="S295" s="3">
        <f>Table13[[#This Row],[Quantity]]*Table13[[#This Row],[UnitCost_NGN]]</f>
        <v>218500</v>
      </c>
      <c r="T295" s="3">
        <f>Table13[[#This Row],[NetRevenue]]-Table13[[#This Row],[TotalCost]]</f>
        <v>133500</v>
      </c>
      <c r="U295" s="3"/>
    </row>
    <row r="296" spans="1:21" x14ac:dyDescent="0.25">
      <c r="A296" t="s">
        <v>590</v>
      </c>
      <c r="B296" s="20">
        <v>45801</v>
      </c>
      <c r="C296" t="s">
        <v>18</v>
      </c>
      <c r="D296" t="s">
        <v>60</v>
      </c>
      <c r="E296" t="s">
        <v>61</v>
      </c>
      <c r="F296" t="s">
        <v>43</v>
      </c>
      <c r="G296" t="s">
        <v>44</v>
      </c>
      <c r="H296" t="s">
        <v>23</v>
      </c>
      <c r="I296" t="s">
        <v>93</v>
      </c>
      <c r="J296" t="s">
        <v>46</v>
      </c>
      <c r="K296">
        <v>3</v>
      </c>
      <c r="L296" s="3">
        <v>85500</v>
      </c>
      <c r="M296" s="3">
        <v>82000</v>
      </c>
      <c r="N296">
        <v>0.15</v>
      </c>
      <c r="O296" t="s">
        <v>26</v>
      </c>
      <c r="P296" t="s">
        <v>48</v>
      </c>
      <c r="Q296" s="3">
        <f>Table13[[#This Row],[Quantity]]*Table13[[#This Row],[UnitPrice_NGN]]</f>
        <v>256500</v>
      </c>
      <c r="R296" s="9">
        <f>Table13[[#This Row],[GrossRevenue]]*(1-Table13[[#This Row],[DiscountRate]])</f>
        <v>218025</v>
      </c>
      <c r="S296" s="3">
        <f>Table13[[#This Row],[Quantity]]*Table13[[#This Row],[UnitCost_NGN]]</f>
        <v>246000</v>
      </c>
      <c r="T296" s="3">
        <f>Table13[[#This Row],[NetRevenue]]-Table13[[#This Row],[TotalCost]]</f>
        <v>-27975</v>
      </c>
      <c r="U296" s="3"/>
    </row>
    <row r="297" spans="1:21" x14ac:dyDescent="0.25">
      <c r="A297" t="s">
        <v>591</v>
      </c>
      <c r="B297" s="20">
        <v>45706</v>
      </c>
      <c r="C297" t="s">
        <v>18</v>
      </c>
      <c r="D297" t="s">
        <v>88</v>
      </c>
      <c r="E297" t="s">
        <v>89</v>
      </c>
      <c r="F297" t="s">
        <v>43</v>
      </c>
      <c r="G297" t="s">
        <v>33</v>
      </c>
      <c r="H297" t="s">
        <v>96</v>
      </c>
      <c r="I297" t="s">
        <v>102</v>
      </c>
      <c r="J297" t="s">
        <v>25</v>
      </c>
      <c r="K297">
        <v>3</v>
      </c>
      <c r="L297" s="3">
        <v>44100</v>
      </c>
      <c r="M297" s="3">
        <v>24700</v>
      </c>
      <c r="N297">
        <v>0.1</v>
      </c>
      <c r="O297" t="s">
        <v>148</v>
      </c>
      <c r="P297" t="s">
        <v>133</v>
      </c>
      <c r="Q297" s="3">
        <f>Table13[[#This Row],[Quantity]]*Table13[[#This Row],[UnitPrice_NGN]]</f>
        <v>132300</v>
      </c>
      <c r="R297" s="9">
        <f>Table13[[#This Row],[GrossRevenue]]*(1-Table13[[#This Row],[DiscountRate]])</f>
        <v>119070</v>
      </c>
      <c r="S297" s="3">
        <f>Table13[[#This Row],[Quantity]]*Table13[[#This Row],[UnitCost_NGN]]</f>
        <v>74100</v>
      </c>
      <c r="T297" s="3">
        <f>Table13[[#This Row],[NetRevenue]]-Table13[[#This Row],[TotalCost]]</f>
        <v>44970</v>
      </c>
      <c r="U297" s="3"/>
    </row>
    <row r="298" spans="1:21" x14ac:dyDescent="0.25">
      <c r="A298" t="s">
        <v>592</v>
      </c>
      <c r="B298" s="20">
        <v>45819</v>
      </c>
      <c r="C298" t="s">
        <v>30</v>
      </c>
      <c r="D298" t="s">
        <v>120</v>
      </c>
      <c r="E298" t="s">
        <v>121</v>
      </c>
      <c r="F298" t="s">
        <v>122</v>
      </c>
      <c r="G298" t="s">
        <v>62</v>
      </c>
      <c r="H298" t="s">
        <v>63</v>
      </c>
      <c r="I298" t="s">
        <v>55</v>
      </c>
      <c r="J298" t="s">
        <v>56</v>
      </c>
      <c r="K298">
        <v>12</v>
      </c>
      <c r="L298" s="3">
        <v>45600</v>
      </c>
      <c r="M298" s="3">
        <v>30000</v>
      </c>
      <c r="N298">
        <v>0</v>
      </c>
      <c r="O298" t="s">
        <v>37</v>
      </c>
      <c r="P298" t="s">
        <v>72</v>
      </c>
      <c r="Q298" s="3">
        <f>Table13[[#This Row],[Quantity]]*Table13[[#This Row],[UnitPrice_NGN]]</f>
        <v>547200</v>
      </c>
      <c r="R298" s="9">
        <f>Table13[[#This Row],[GrossRevenue]]*(1-Table13[[#This Row],[DiscountRate]])</f>
        <v>547200</v>
      </c>
      <c r="S298" s="3">
        <f>Table13[[#This Row],[Quantity]]*Table13[[#This Row],[UnitCost_NGN]]</f>
        <v>360000</v>
      </c>
      <c r="T298" s="3">
        <f>Table13[[#This Row],[NetRevenue]]-Table13[[#This Row],[TotalCost]]</f>
        <v>187200</v>
      </c>
      <c r="U298" s="3"/>
    </row>
    <row r="299" spans="1:21" x14ac:dyDescent="0.25">
      <c r="A299" t="s">
        <v>593</v>
      </c>
      <c r="B299" s="20">
        <v>45713</v>
      </c>
      <c r="C299" t="s">
        <v>18</v>
      </c>
      <c r="D299" t="s">
        <v>60</v>
      </c>
      <c r="E299" t="s">
        <v>61</v>
      </c>
      <c r="F299" t="s">
        <v>43</v>
      </c>
      <c r="G299" t="s">
        <v>44</v>
      </c>
      <c r="H299" t="s">
        <v>112</v>
      </c>
      <c r="I299" t="s">
        <v>70</v>
      </c>
      <c r="J299" t="s">
        <v>71</v>
      </c>
      <c r="K299">
        <v>1</v>
      </c>
      <c r="L299" s="3">
        <v>90250</v>
      </c>
      <c r="M299" s="3">
        <v>62000</v>
      </c>
      <c r="N299">
        <v>0.1</v>
      </c>
      <c r="O299" t="s">
        <v>37</v>
      </c>
      <c r="P299" t="s">
        <v>48</v>
      </c>
      <c r="Q299" s="3">
        <f>Table13[[#This Row],[Quantity]]*Table13[[#This Row],[UnitPrice_NGN]]</f>
        <v>90250</v>
      </c>
      <c r="R299" s="9">
        <f>Table13[[#This Row],[GrossRevenue]]*(1-Table13[[#This Row],[DiscountRate]])</f>
        <v>81225</v>
      </c>
      <c r="S299" s="3">
        <f>Table13[[#This Row],[Quantity]]*Table13[[#This Row],[UnitCost_NGN]]</f>
        <v>62000</v>
      </c>
      <c r="T299" s="3">
        <f>Table13[[#This Row],[NetRevenue]]-Table13[[#This Row],[TotalCost]]</f>
        <v>19225</v>
      </c>
      <c r="U299" s="3"/>
    </row>
    <row r="300" spans="1:21" x14ac:dyDescent="0.25">
      <c r="A300" t="s">
        <v>595</v>
      </c>
      <c r="B300" s="20">
        <v>45815</v>
      </c>
      <c r="C300" t="s">
        <v>40</v>
      </c>
      <c r="D300" t="s">
        <v>83</v>
      </c>
      <c r="E300" t="s">
        <v>84</v>
      </c>
      <c r="F300" t="s">
        <v>85</v>
      </c>
      <c r="G300" t="s">
        <v>22</v>
      </c>
      <c r="H300" t="s">
        <v>96</v>
      </c>
      <c r="I300" t="s">
        <v>105</v>
      </c>
      <c r="J300" t="s">
        <v>71</v>
      </c>
      <c r="K300">
        <v>1</v>
      </c>
      <c r="L300" s="3">
        <v>175000</v>
      </c>
      <c r="M300" s="3">
        <v>120000</v>
      </c>
      <c r="N300">
        <v>0.05</v>
      </c>
      <c r="O300" t="s">
        <v>90</v>
      </c>
      <c r="P300" t="s">
        <v>72</v>
      </c>
      <c r="Q300" s="3">
        <f>Table13[[#This Row],[Quantity]]*Table13[[#This Row],[UnitPrice_NGN]]</f>
        <v>175000</v>
      </c>
      <c r="R300" s="9">
        <f>Table13[[#This Row],[GrossRevenue]]*(1-Table13[[#This Row],[DiscountRate]])</f>
        <v>166250</v>
      </c>
      <c r="S300" s="3">
        <f>Table13[[#This Row],[Quantity]]*Table13[[#This Row],[UnitCost_NGN]]</f>
        <v>120000</v>
      </c>
      <c r="T300" s="3">
        <f>Table13[[#This Row],[NetRevenue]]-Table13[[#This Row],[TotalCost]]</f>
        <v>46250</v>
      </c>
      <c r="U300" s="3"/>
    </row>
    <row r="301" spans="1:21" x14ac:dyDescent="0.25">
      <c r="A301" t="s">
        <v>597</v>
      </c>
      <c r="B301" s="20">
        <v>45825</v>
      </c>
      <c r="C301" t="s">
        <v>18</v>
      </c>
      <c r="D301" t="s">
        <v>41</v>
      </c>
      <c r="E301" t="s">
        <v>42</v>
      </c>
      <c r="F301" t="s">
        <v>43</v>
      </c>
      <c r="G301" t="s">
        <v>44</v>
      </c>
      <c r="H301" t="s">
        <v>63</v>
      </c>
      <c r="I301" t="s">
        <v>24</v>
      </c>
      <c r="J301" t="s">
        <v>25</v>
      </c>
      <c r="K301">
        <v>8</v>
      </c>
      <c r="L301" s="3">
        <v>23100</v>
      </c>
      <c r="M301" s="3">
        <v>12350</v>
      </c>
      <c r="N301">
        <v>0</v>
      </c>
      <c r="O301" t="s">
        <v>26</v>
      </c>
      <c r="P301" t="s">
        <v>48</v>
      </c>
      <c r="Q301" s="3">
        <f>Table13[[#This Row],[Quantity]]*Table13[[#This Row],[UnitPrice_NGN]]</f>
        <v>184800</v>
      </c>
      <c r="R301" s="9">
        <f>Table13[[#This Row],[GrossRevenue]]*(1-Table13[[#This Row],[DiscountRate]])</f>
        <v>184800</v>
      </c>
      <c r="S301" s="3">
        <f>Table13[[#This Row],[Quantity]]*Table13[[#This Row],[UnitCost_NGN]]</f>
        <v>98800</v>
      </c>
      <c r="T301" s="3">
        <f>Table13[[#This Row],[NetRevenue]]-Table13[[#This Row],[TotalCost]]</f>
        <v>86000</v>
      </c>
      <c r="U301" s="3"/>
    </row>
    <row r="302" spans="1:21" x14ac:dyDescent="0.25">
      <c r="A302" t="s">
        <v>598</v>
      </c>
      <c r="B302" s="20">
        <v>45865</v>
      </c>
      <c r="C302" t="s">
        <v>30</v>
      </c>
      <c r="D302" t="s">
        <v>31</v>
      </c>
      <c r="E302" t="s">
        <v>32</v>
      </c>
      <c r="F302" t="s">
        <v>21</v>
      </c>
      <c r="G302" t="s">
        <v>44</v>
      </c>
      <c r="H302" t="s">
        <v>96</v>
      </c>
      <c r="I302" t="s">
        <v>93</v>
      </c>
      <c r="J302" t="s">
        <v>46</v>
      </c>
      <c r="K302">
        <v>5</v>
      </c>
      <c r="L302" s="3">
        <v>95000</v>
      </c>
      <c r="M302" s="3">
        <v>82000</v>
      </c>
      <c r="N302">
        <v>0</v>
      </c>
      <c r="O302" t="s">
        <v>37</v>
      </c>
      <c r="P302" t="s">
        <v>72</v>
      </c>
      <c r="Q302" s="3">
        <f>Table13[[#This Row],[Quantity]]*Table13[[#This Row],[UnitPrice_NGN]]</f>
        <v>475000</v>
      </c>
      <c r="R302" s="9">
        <f>Table13[[#This Row],[GrossRevenue]]*(1-Table13[[#This Row],[DiscountRate]])</f>
        <v>475000</v>
      </c>
      <c r="S302" s="3">
        <f>Table13[[#This Row],[Quantity]]*Table13[[#This Row],[UnitCost_NGN]]</f>
        <v>410000</v>
      </c>
      <c r="T302" s="3">
        <f>Table13[[#This Row],[NetRevenue]]-Table13[[#This Row],[TotalCost]]</f>
        <v>65000</v>
      </c>
      <c r="U302" s="3"/>
    </row>
    <row r="303" spans="1:21" x14ac:dyDescent="0.25">
      <c r="A303" t="s">
        <v>600</v>
      </c>
      <c r="B303" s="20">
        <v>45759</v>
      </c>
      <c r="C303" t="s">
        <v>40</v>
      </c>
      <c r="D303" t="s">
        <v>157</v>
      </c>
      <c r="E303" t="s">
        <v>158</v>
      </c>
      <c r="F303" t="s">
        <v>21</v>
      </c>
      <c r="G303" t="s">
        <v>22</v>
      </c>
      <c r="H303" t="s">
        <v>23</v>
      </c>
      <c r="I303" t="s">
        <v>51</v>
      </c>
      <c r="J303" t="s">
        <v>36</v>
      </c>
      <c r="K303">
        <v>1</v>
      </c>
      <c r="L303" s="3">
        <v>252000</v>
      </c>
      <c r="M303" s="3">
        <v>210000</v>
      </c>
      <c r="N303">
        <v>0</v>
      </c>
      <c r="O303" t="s">
        <v>57</v>
      </c>
      <c r="P303" t="s">
        <v>72</v>
      </c>
      <c r="Q303" s="3">
        <f>Table13[[#This Row],[Quantity]]*Table13[[#This Row],[UnitPrice_NGN]]</f>
        <v>252000</v>
      </c>
      <c r="R303" s="9">
        <f>Table13[[#This Row],[GrossRevenue]]*(1-Table13[[#This Row],[DiscountRate]])</f>
        <v>252000</v>
      </c>
      <c r="S303" s="3">
        <f>Table13[[#This Row],[Quantity]]*Table13[[#This Row],[UnitCost_NGN]]</f>
        <v>210000</v>
      </c>
      <c r="T303" s="3">
        <f>Table13[[#This Row],[NetRevenue]]-Table13[[#This Row],[TotalCost]]</f>
        <v>42000</v>
      </c>
      <c r="U303" s="3"/>
    </row>
    <row r="304" spans="1:21" x14ac:dyDescent="0.25">
      <c r="A304" t="s">
        <v>601</v>
      </c>
      <c r="B304" s="20">
        <v>45705</v>
      </c>
      <c r="C304" t="s">
        <v>18</v>
      </c>
      <c r="D304" t="s">
        <v>31</v>
      </c>
      <c r="E304" t="s">
        <v>32</v>
      </c>
      <c r="F304" t="s">
        <v>21</v>
      </c>
      <c r="G304" t="s">
        <v>22</v>
      </c>
      <c r="H304" t="s">
        <v>112</v>
      </c>
      <c r="I304" t="s">
        <v>51</v>
      </c>
      <c r="J304" t="s">
        <v>36</v>
      </c>
      <c r="K304">
        <v>15</v>
      </c>
      <c r="L304" s="3">
        <v>266000</v>
      </c>
      <c r="M304" s="3">
        <v>220500</v>
      </c>
      <c r="N304">
        <v>0</v>
      </c>
      <c r="O304" t="s">
        <v>148</v>
      </c>
      <c r="P304" t="s">
        <v>48</v>
      </c>
      <c r="Q304" s="3">
        <f>Table13[[#This Row],[Quantity]]*Table13[[#This Row],[UnitPrice_NGN]]</f>
        <v>3990000</v>
      </c>
      <c r="R304" s="9">
        <f>Table13[[#This Row],[GrossRevenue]]*(1-Table13[[#This Row],[DiscountRate]])</f>
        <v>3990000</v>
      </c>
      <c r="S304" s="3">
        <f>Table13[[#This Row],[Quantity]]*Table13[[#This Row],[UnitCost_NGN]]</f>
        <v>3307500</v>
      </c>
      <c r="T304" s="3">
        <f>Table13[[#This Row],[NetRevenue]]-Table13[[#This Row],[TotalCost]]</f>
        <v>682500</v>
      </c>
      <c r="U304" s="3"/>
    </row>
    <row r="305" spans="1:21" x14ac:dyDescent="0.25">
      <c r="A305" t="s">
        <v>602</v>
      </c>
      <c r="B305" s="20">
        <v>45673</v>
      </c>
      <c r="C305" t="s">
        <v>30</v>
      </c>
      <c r="D305" t="s">
        <v>131</v>
      </c>
      <c r="E305" t="s">
        <v>132</v>
      </c>
      <c r="F305" t="s">
        <v>80</v>
      </c>
      <c r="G305" t="s">
        <v>33</v>
      </c>
      <c r="H305" t="s">
        <v>34</v>
      </c>
      <c r="I305" t="s">
        <v>75</v>
      </c>
      <c r="J305" t="s">
        <v>36</v>
      </c>
      <c r="K305">
        <v>3</v>
      </c>
      <c r="L305" s="3">
        <v>189000</v>
      </c>
      <c r="M305" s="3">
        <v>136500</v>
      </c>
      <c r="N305">
        <v>0.05</v>
      </c>
      <c r="O305" t="s">
        <v>47</v>
      </c>
      <c r="P305" t="s">
        <v>72</v>
      </c>
      <c r="Q305" s="3">
        <f>Table13[[#This Row],[Quantity]]*Table13[[#This Row],[UnitPrice_NGN]]</f>
        <v>567000</v>
      </c>
      <c r="R305" s="9">
        <f>Table13[[#This Row],[GrossRevenue]]*(1-Table13[[#This Row],[DiscountRate]])</f>
        <v>538650</v>
      </c>
      <c r="S305" s="3">
        <f>Table13[[#This Row],[Quantity]]*Table13[[#This Row],[UnitCost_NGN]]</f>
        <v>409500</v>
      </c>
      <c r="T305" s="3">
        <f>Table13[[#This Row],[NetRevenue]]-Table13[[#This Row],[TotalCost]]</f>
        <v>129150</v>
      </c>
      <c r="U305" s="3"/>
    </row>
    <row r="306" spans="1:21" x14ac:dyDescent="0.25">
      <c r="A306" t="s">
        <v>604</v>
      </c>
      <c r="B306" s="20">
        <v>45972</v>
      </c>
      <c r="C306" t="s">
        <v>30</v>
      </c>
      <c r="D306" t="s">
        <v>157</v>
      </c>
      <c r="E306" t="s">
        <v>158</v>
      </c>
      <c r="F306" t="s">
        <v>21</v>
      </c>
      <c r="G306" t="s">
        <v>44</v>
      </c>
      <c r="H306" t="s">
        <v>63</v>
      </c>
      <c r="I306" t="s">
        <v>113</v>
      </c>
      <c r="J306" t="s">
        <v>36</v>
      </c>
      <c r="K306">
        <v>2</v>
      </c>
      <c r="L306" s="3">
        <v>160000</v>
      </c>
      <c r="M306" s="3">
        <v>115000</v>
      </c>
      <c r="N306">
        <v>0</v>
      </c>
      <c r="O306" t="s">
        <v>37</v>
      </c>
      <c r="P306" t="s">
        <v>133</v>
      </c>
      <c r="Q306" s="3">
        <f>Table13[[#This Row],[Quantity]]*Table13[[#This Row],[UnitPrice_NGN]]</f>
        <v>320000</v>
      </c>
      <c r="R306" s="9">
        <f>Table13[[#This Row],[GrossRevenue]]*(1-Table13[[#This Row],[DiscountRate]])</f>
        <v>320000</v>
      </c>
      <c r="S306" s="3">
        <f>Table13[[#This Row],[Quantity]]*Table13[[#This Row],[UnitCost_NGN]]</f>
        <v>230000</v>
      </c>
      <c r="T306" s="3">
        <f>Table13[[#This Row],[NetRevenue]]-Table13[[#This Row],[TotalCost]]</f>
        <v>90000</v>
      </c>
      <c r="U306" s="3"/>
    </row>
    <row r="307" spans="1:21" x14ac:dyDescent="0.25">
      <c r="A307" t="s">
        <v>606</v>
      </c>
      <c r="B307" s="20">
        <v>45728</v>
      </c>
      <c r="C307" t="s">
        <v>18</v>
      </c>
      <c r="D307" t="s">
        <v>78</v>
      </c>
      <c r="E307" t="s">
        <v>79</v>
      </c>
      <c r="F307" t="s">
        <v>80</v>
      </c>
      <c r="G307" t="s">
        <v>44</v>
      </c>
      <c r="H307" t="s">
        <v>23</v>
      </c>
      <c r="I307" t="s">
        <v>55</v>
      </c>
      <c r="J307" t="s">
        <v>56</v>
      </c>
      <c r="K307">
        <v>3</v>
      </c>
      <c r="L307" s="3">
        <v>43200</v>
      </c>
      <c r="M307" s="3">
        <v>30000</v>
      </c>
      <c r="N307">
        <v>0.05</v>
      </c>
      <c r="O307" t="s">
        <v>148</v>
      </c>
      <c r="P307" t="s">
        <v>48</v>
      </c>
      <c r="Q307" s="3">
        <f>Table13[[#This Row],[Quantity]]*Table13[[#This Row],[UnitPrice_NGN]]</f>
        <v>129600</v>
      </c>
      <c r="R307" s="9">
        <f>Table13[[#This Row],[GrossRevenue]]*(1-Table13[[#This Row],[DiscountRate]])</f>
        <v>123120</v>
      </c>
      <c r="S307" s="3">
        <f>Table13[[#This Row],[Quantity]]*Table13[[#This Row],[UnitCost_NGN]]</f>
        <v>90000</v>
      </c>
      <c r="T307" s="3">
        <f>Table13[[#This Row],[NetRevenue]]-Table13[[#This Row],[TotalCost]]</f>
        <v>33120</v>
      </c>
      <c r="U307" s="3"/>
    </row>
    <row r="308" spans="1:21" x14ac:dyDescent="0.25">
      <c r="A308" t="s">
        <v>608</v>
      </c>
      <c r="B308" s="20">
        <v>45947</v>
      </c>
      <c r="C308" t="s">
        <v>40</v>
      </c>
      <c r="D308" t="s">
        <v>136</v>
      </c>
      <c r="E308" t="s">
        <v>137</v>
      </c>
      <c r="F308" t="s">
        <v>122</v>
      </c>
      <c r="G308" t="s">
        <v>33</v>
      </c>
      <c r="H308" t="s">
        <v>63</v>
      </c>
      <c r="I308" t="s">
        <v>55</v>
      </c>
      <c r="J308" t="s">
        <v>56</v>
      </c>
      <c r="K308">
        <v>2</v>
      </c>
      <c r="L308" s="3">
        <v>48000</v>
      </c>
      <c r="M308" s="3">
        <v>31500</v>
      </c>
      <c r="N308">
        <v>0</v>
      </c>
      <c r="O308" t="s">
        <v>90</v>
      </c>
      <c r="P308" t="s">
        <v>133</v>
      </c>
      <c r="Q308" s="3">
        <f>Table13[[#This Row],[Quantity]]*Table13[[#This Row],[UnitPrice_NGN]]</f>
        <v>96000</v>
      </c>
      <c r="R308" s="9">
        <f>Table13[[#This Row],[GrossRevenue]]*(1-Table13[[#This Row],[DiscountRate]])</f>
        <v>96000</v>
      </c>
      <c r="S308" s="3">
        <f>Table13[[#This Row],[Quantity]]*Table13[[#This Row],[UnitCost_NGN]]</f>
        <v>63000</v>
      </c>
      <c r="T308" s="3">
        <f>Table13[[#This Row],[NetRevenue]]-Table13[[#This Row],[TotalCost]]</f>
        <v>33000</v>
      </c>
      <c r="U308" s="3"/>
    </row>
    <row r="309" spans="1:21" x14ac:dyDescent="0.25">
      <c r="A309" t="s">
        <v>609</v>
      </c>
      <c r="B309" s="20">
        <v>45899</v>
      </c>
      <c r="C309" t="s">
        <v>40</v>
      </c>
      <c r="D309" t="s">
        <v>88</v>
      </c>
      <c r="E309" t="s">
        <v>89</v>
      </c>
      <c r="F309" t="s">
        <v>43</v>
      </c>
      <c r="G309" t="s">
        <v>44</v>
      </c>
      <c r="H309" t="s">
        <v>34</v>
      </c>
      <c r="I309" t="s">
        <v>35</v>
      </c>
      <c r="J309" t="s">
        <v>36</v>
      </c>
      <c r="K309">
        <v>4</v>
      </c>
      <c r="L309" s="3">
        <v>405000</v>
      </c>
      <c r="M309" s="3">
        <v>350000</v>
      </c>
      <c r="N309">
        <v>0</v>
      </c>
      <c r="O309" t="s">
        <v>52</v>
      </c>
      <c r="P309" t="s">
        <v>133</v>
      </c>
      <c r="Q309" s="3">
        <f>Table13[[#This Row],[Quantity]]*Table13[[#This Row],[UnitPrice_NGN]]</f>
        <v>1620000</v>
      </c>
      <c r="R309" s="9">
        <f>Table13[[#This Row],[GrossRevenue]]*(1-Table13[[#This Row],[DiscountRate]])</f>
        <v>1620000</v>
      </c>
      <c r="S309" s="3">
        <f>Table13[[#This Row],[Quantity]]*Table13[[#This Row],[UnitCost_NGN]]</f>
        <v>1400000</v>
      </c>
      <c r="T309" s="3">
        <f>Table13[[#This Row],[NetRevenue]]-Table13[[#This Row],[TotalCost]]</f>
        <v>220000</v>
      </c>
      <c r="U309" s="3"/>
    </row>
    <row r="310" spans="1:21" x14ac:dyDescent="0.25">
      <c r="A310" t="s">
        <v>610</v>
      </c>
      <c r="B310" s="20">
        <v>45952</v>
      </c>
      <c r="C310" t="s">
        <v>40</v>
      </c>
      <c r="D310" t="s">
        <v>120</v>
      </c>
      <c r="E310" t="s">
        <v>121</v>
      </c>
      <c r="F310" t="s">
        <v>122</v>
      </c>
      <c r="G310" t="s">
        <v>44</v>
      </c>
      <c r="H310" t="s">
        <v>34</v>
      </c>
      <c r="I310" t="s">
        <v>113</v>
      </c>
      <c r="J310" t="s">
        <v>36</v>
      </c>
      <c r="K310">
        <v>2</v>
      </c>
      <c r="L310" s="3">
        <v>160000</v>
      </c>
      <c r="M310" s="3">
        <v>109250</v>
      </c>
      <c r="N310">
        <v>0</v>
      </c>
      <c r="O310" t="s">
        <v>64</v>
      </c>
      <c r="P310" t="s">
        <v>72</v>
      </c>
      <c r="Q310" s="3">
        <f>Table13[[#This Row],[Quantity]]*Table13[[#This Row],[UnitPrice_NGN]]</f>
        <v>320000</v>
      </c>
      <c r="R310" s="9">
        <f>Table13[[#This Row],[GrossRevenue]]*(1-Table13[[#This Row],[DiscountRate]])</f>
        <v>320000</v>
      </c>
      <c r="S310" s="3">
        <f>Table13[[#This Row],[Quantity]]*Table13[[#This Row],[UnitCost_NGN]]</f>
        <v>218500</v>
      </c>
      <c r="T310" s="3">
        <f>Table13[[#This Row],[NetRevenue]]-Table13[[#This Row],[TotalCost]]</f>
        <v>101500</v>
      </c>
      <c r="U310" s="3"/>
    </row>
    <row r="311" spans="1:21" x14ac:dyDescent="0.25">
      <c r="A311" t="s">
        <v>611</v>
      </c>
      <c r="B311" s="20">
        <v>45672</v>
      </c>
      <c r="C311" t="s">
        <v>30</v>
      </c>
      <c r="D311" t="s">
        <v>88</v>
      </c>
      <c r="E311" t="s">
        <v>89</v>
      </c>
      <c r="F311" t="s">
        <v>43</v>
      </c>
      <c r="G311" t="s">
        <v>62</v>
      </c>
      <c r="H311" t="s">
        <v>23</v>
      </c>
      <c r="I311" t="s">
        <v>45</v>
      </c>
      <c r="J311" t="s">
        <v>46</v>
      </c>
      <c r="K311">
        <v>6</v>
      </c>
      <c r="L311" s="3">
        <v>19425</v>
      </c>
      <c r="M311" s="3">
        <v>14500</v>
      </c>
      <c r="N311">
        <v>0.1</v>
      </c>
      <c r="O311" t="s">
        <v>90</v>
      </c>
      <c r="P311" t="s">
        <v>27</v>
      </c>
      <c r="Q311" s="3">
        <f>Table13[[#This Row],[Quantity]]*Table13[[#This Row],[UnitPrice_NGN]]</f>
        <v>116550</v>
      </c>
      <c r="R311" s="9">
        <f>Table13[[#This Row],[GrossRevenue]]*(1-Table13[[#This Row],[DiscountRate]])</f>
        <v>104895</v>
      </c>
      <c r="S311" s="3">
        <f>Table13[[#This Row],[Quantity]]*Table13[[#This Row],[UnitCost_NGN]]</f>
        <v>87000</v>
      </c>
      <c r="T311" s="3">
        <f>Table13[[#This Row],[NetRevenue]]-Table13[[#This Row],[TotalCost]]</f>
        <v>17895</v>
      </c>
      <c r="U311" s="3"/>
    </row>
    <row r="312" spans="1:21" x14ac:dyDescent="0.25">
      <c r="A312" t="s">
        <v>613</v>
      </c>
      <c r="B312" s="20">
        <v>45816</v>
      </c>
      <c r="C312" t="s">
        <v>40</v>
      </c>
      <c r="D312" t="s">
        <v>60</v>
      </c>
      <c r="E312" t="s">
        <v>61</v>
      </c>
      <c r="F312" t="s">
        <v>43</v>
      </c>
      <c r="G312" t="s">
        <v>22</v>
      </c>
      <c r="H312" t="s">
        <v>96</v>
      </c>
      <c r="I312" t="s">
        <v>45</v>
      </c>
      <c r="J312" t="s">
        <v>46</v>
      </c>
      <c r="K312">
        <v>8</v>
      </c>
      <c r="L312" s="3">
        <v>20350</v>
      </c>
      <c r="M312" s="3">
        <v>15225</v>
      </c>
      <c r="N312">
        <v>0.1</v>
      </c>
      <c r="O312" t="s">
        <v>148</v>
      </c>
      <c r="P312" t="s">
        <v>48</v>
      </c>
      <c r="Q312" s="3">
        <f>Table13[[#This Row],[Quantity]]*Table13[[#This Row],[UnitPrice_NGN]]</f>
        <v>162800</v>
      </c>
      <c r="R312" s="9">
        <f>Table13[[#This Row],[GrossRevenue]]*(1-Table13[[#This Row],[DiscountRate]])</f>
        <v>146520</v>
      </c>
      <c r="S312" s="3">
        <f>Table13[[#This Row],[Quantity]]*Table13[[#This Row],[UnitCost_NGN]]</f>
        <v>121800</v>
      </c>
      <c r="T312" s="3">
        <f>Table13[[#This Row],[NetRevenue]]-Table13[[#This Row],[TotalCost]]</f>
        <v>24720</v>
      </c>
      <c r="U312" s="3"/>
    </row>
    <row r="313" spans="1:21" x14ac:dyDescent="0.25">
      <c r="A313" t="s">
        <v>614</v>
      </c>
      <c r="B313" s="20">
        <v>45827</v>
      </c>
      <c r="C313" t="s">
        <v>18</v>
      </c>
      <c r="D313" t="s">
        <v>131</v>
      </c>
      <c r="E313" t="s">
        <v>132</v>
      </c>
      <c r="F313" t="s">
        <v>80</v>
      </c>
      <c r="G313" t="s">
        <v>44</v>
      </c>
      <c r="H313" t="s">
        <v>63</v>
      </c>
      <c r="I313" t="s">
        <v>113</v>
      </c>
      <c r="J313" t="s">
        <v>36</v>
      </c>
      <c r="K313">
        <v>2</v>
      </c>
      <c r="L313" s="3">
        <v>160000</v>
      </c>
      <c r="M313" s="3">
        <v>120750</v>
      </c>
      <c r="N313">
        <v>0</v>
      </c>
      <c r="O313" t="s">
        <v>90</v>
      </c>
      <c r="P313" t="s">
        <v>133</v>
      </c>
      <c r="Q313" s="3">
        <f>Table13[[#This Row],[Quantity]]*Table13[[#This Row],[UnitPrice_NGN]]</f>
        <v>320000</v>
      </c>
      <c r="R313" s="9">
        <f>Table13[[#This Row],[GrossRevenue]]*(1-Table13[[#This Row],[DiscountRate]])</f>
        <v>320000</v>
      </c>
      <c r="S313" s="3">
        <f>Table13[[#This Row],[Quantity]]*Table13[[#This Row],[UnitCost_NGN]]</f>
        <v>241500</v>
      </c>
      <c r="T313" s="3">
        <f>Table13[[#This Row],[NetRevenue]]-Table13[[#This Row],[TotalCost]]</f>
        <v>78500</v>
      </c>
      <c r="U313" s="3"/>
    </row>
    <row r="314" spans="1:21" x14ac:dyDescent="0.25">
      <c r="A314" t="s">
        <v>616</v>
      </c>
      <c r="B314" s="20">
        <v>45927</v>
      </c>
      <c r="C314" t="s">
        <v>18</v>
      </c>
      <c r="D314" t="s">
        <v>31</v>
      </c>
      <c r="E314" t="s">
        <v>32</v>
      </c>
      <c r="F314" t="s">
        <v>21</v>
      </c>
      <c r="G314" t="s">
        <v>62</v>
      </c>
      <c r="H314" t="s">
        <v>112</v>
      </c>
      <c r="I314" t="s">
        <v>105</v>
      </c>
      <c r="J314" t="s">
        <v>71</v>
      </c>
      <c r="K314">
        <v>1</v>
      </c>
      <c r="L314" s="3">
        <v>175000</v>
      </c>
      <c r="M314" s="3">
        <v>120000</v>
      </c>
      <c r="N314">
        <v>0</v>
      </c>
      <c r="O314" t="s">
        <v>52</v>
      </c>
      <c r="P314" t="s">
        <v>48</v>
      </c>
      <c r="Q314" s="3">
        <f>Table13[[#This Row],[Quantity]]*Table13[[#This Row],[UnitPrice_NGN]]</f>
        <v>175000</v>
      </c>
      <c r="R314" s="9">
        <f>Table13[[#This Row],[GrossRevenue]]*(1-Table13[[#This Row],[DiscountRate]])</f>
        <v>175000</v>
      </c>
      <c r="S314" s="3">
        <f>Table13[[#This Row],[Quantity]]*Table13[[#This Row],[UnitCost_NGN]]</f>
        <v>120000</v>
      </c>
      <c r="T314" s="3">
        <f>Table13[[#This Row],[NetRevenue]]-Table13[[#This Row],[TotalCost]]</f>
        <v>55000</v>
      </c>
      <c r="U314" s="3"/>
    </row>
    <row r="315" spans="1:21" x14ac:dyDescent="0.25">
      <c r="A315" t="s">
        <v>618</v>
      </c>
      <c r="B315" s="20">
        <v>45907</v>
      </c>
      <c r="C315" t="s">
        <v>40</v>
      </c>
      <c r="D315" t="s">
        <v>41</v>
      </c>
      <c r="E315" t="s">
        <v>42</v>
      </c>
      <c r="F315" t="s">
        <v>43</v>
      </c>
      <c r="G315" t="s">
        <v>44</v>
      </c>
      <c r="H315" t="s">
        <v>23</v>
      </c>
      <c r="I315" t="s">
        <v>105</v>
      </c>
      <c r="J315" t="s">
        <v>71</v>
      </c>
      <c r="K315">
        <v>2</v>
      </c>
      <c r="L315" s="3">
        <v>166250</v>
      </c>
      <c r="M315" s="3">
        <v>126000</v>
      </c>
      <c r="N315">
        <v>0.15</v>
      </c>
      <c r="O315" t="s">
        <v>47</v>
      </c>
      <c r="P315" t="s">
        <v>27</v>
      </c>
      <c r="Q315" s="3">
        <f>Table13[[#This Row],[Quantity]]*Table13[[#This Row],[UnitPrice_NGN]]</f>
        <v>332500</v>
      </c>
      <c r="R315" s="9">
        <f>Table13[[#This Row],[GrossRevenue]]*(1-Table13[[#This Row],[DiscountRate]])</f>
        <v>282625</v>
      </c>
      <c r="S315" s="3">
        <f>Table13[[#This Row],[Quantity]]*Table13[[#This Row],[UnitCost_NGN]]</f>
        <v>252000</v>
      </c>
      <c r="T315" s="3">
        <f>Table13[[#This Row],[NetRevenue]]-Table13[[#This Row],[TotalCost]]</f>
        <v>30625</v>
      </c>
      <c r="U315" s="3"/>
    </row>
    <row r="316" spans="1:21" x14ac:dyDescent="0.25">
      <c r="A316" t="s">
        <v>620</v>
      </c>
      <c r="B316" s="20">
        <v>46010</v>
      </c>
      <c r="C316" t="s">
        <v>18</v>
      </c>
      <c r="D316" t="s">
        <v>120</v>
      </c>
      <c r="E316" t="s">
        <v>121</v>
      </c>
      <c r="F316" t="s">
        <v>122</v>
      </c>
      <c r="G316" t="s">
        <v>44</v>
      </c>
      <c r="H316" t="s">
        <v>96</v>
      </c>
      <c r="I316" t="s">
        <v>113</v>
      </c>
      <c r="J316" t="s">
        <v>36</v>
      </c>
      <c r="K316">
        <v>4</v>
      </c>
      <c r="L316" s="3">
        <v>152000</v>
      </c>
      <c r="M316" s="3">
        <v>120750</v>
      </c>
      <c r="N316">
        <v>0</v>
      </c>
      <c r="O316" t="s">
        <v>26</v>
      </c>
      <c r="P316" t="s">
        <v>48</v>
      </c>
      <c r="Q316" s="3">
        <f>Table13[[#This Row],[Quantity]]*Table13[[#This Row],[UnitPrice_NGN]]</f>
        <v>608000</v>
      </c>
      <c r="R316" s="9">
        <f>Table13[[#This Row],[GrossRevenue]]*(1-Table13[[#This Row],[DiscountRate]])</f>
        <v>608000</v>
      </c>
      <c r="S316" s="3">
        <f>Table13[[#This Row],[Quantity]]*Table13[[#This Row],[UnitCost_NGN]]</f>
        <v>483000</v>
      </c>
      <c r="T316" s="3">
        <f>Table13[[#This Row],[NetRevenue]]-Table13[[#This Row],[TotalCost]]</f>
        <v>125000</v>
      </c>
      <c r="U316" s="3"/>
    </row>
    <row r="317" spans="1:21" x14ac:dyDescent="0.25">
      <c r="A317" t="s">
        <v>622</v>
      </c>
      <c r="B317" s="20">
        <v>45947</v>
      </c>
      <c r="C317" t="s">
        <v>40</v>
      </c>
      <c r="D317" t="s">
        <v>31</v>
      </c>
      <c r="E317" t="s">
        <v>32</v>
      </c>
      <c r="F317" t="s">
        <v>21</v>
      </c>
      <c r="G317" t="s">
        <v>44</v>
      </c>
      <c r="H317" t="s">
        <v>63</v>
      </c>
      <c r="I317" t="s">
        <v>45</v>
      </c>
      <c r="J317" t="s">
        <v>46</v>
      </c>
      <c r="K317">
        <v>2</v>
      </c>
      <c r="L317" s="3">
        <v>18500</v>
      </c>
      <c r="M317" s="3">
        <v>14500</v>
      </c>
      <c r="N317">
        <v>0.15</v>
      </c>
      <c r="O317" t="s">
        <v>52</v>
      </c>
      <c r="P317" t="s">
        <v>48</v>
      </c>
      <c r="Q317" s="3">
        <f>Table13[[#This Row],[Quantity]]*Table13[[#This Row],[UnitPrice_NGN]]</f>
        <v>37000</v>
      </c>
      <c r="R317" s="9">
        <f>Table13[[#This Row],[GrossRevenue]]*(1-Table13[[#This Row],[DiscountRate]])</f>
        <v>31450</v>
      </c>
      <c r="S317" s="3">
        <f>Table13[[#This Row],[Quantity]]*Table13[[#This Row],[UnitCost_NGN]]</f>
        <v>29000</v>
      </c>
      <c r="T317" s="3">
        <f>Table13[[#This Row],[NetRevenue]]-Table13[[#This Row],[TotalCost]]</f>
        <v>2450</v>
      </c>
      <c r="U317" s="3"/>
    </row>
    <row r="318" spans="1:21" x14ac:dyDescent="0.25">
      <c r="A318" t="s">
        <v>623</v>
      </c>
      <c r="B318" s="20">
        <v>46001</v>
      </c>
      <c r="C318" t="s">
        <v>30</v>
      </c>
      <c r="D318" t="s">
        <v>88</v>
      </c>
      <c r="E318" t="s">
        <v>89</v>
      </c>
      <c r="F318" t="s">
        <v>43</v>
      </c>
      <c r="G318" t="s">
        <v>62</v>
      </c>
      <c r="H318" t="s">
        <v>112</v>
      </c>
      <c r="I318" t="s">
        <v>113</v>
      </c>
      <c r="J318" t="s">
        <v>36</v>
      </c>
      <c r="K318">
        <v>15</v>
      </c>
      <c r="L318" s="3">
        <v>152000</v>
      </c>
      <c r="M318" s="3">
        <v>109250</v>
      </c>
      <c r="N318">
        <v>0.15</v>
      </c>
      <c r="O318" t="s">
        <v>148</v>
      </c>
      <c r="P318" t="s">
        <v>27</v>
      </c>
      <c r="Q318" s="3">
        <f>Table13[[#This Row],[Quantity]]*Table13[[#This Row],[UnitPrice_NGN]]</f>
        <v>2280000</v>
      </c>
      <c r="R318" s="9">
        <f>Table13[[#This Row],[GrossRevenue]]*(1-Table13[[#This Row],[DiscountRate]])</f>
        <v>1938000</v>
      </c>
      <c r="S318" s="3">
        <f>Table13[[#This Row],[Quantity]]*Table13[[#This Row],[UnitCost_NGN]]</f>
        <v>1638750</v>
      </c>
      <c r="T318" s="3">
        <f>Table13[[#This Row],[NetRevenue]]-Table13[[#This Row],[TotalCost]]</f>
        <v>299250</v>
      </c>
      <c r="U318" s="3"/>
    </row>
    <row r="319" spans="1:21" x14ac:dyDescent="0.25">
      <c r="A319" t="s">
        <v>624</v>
      </c>
      <c r="B319" s="20">
        <v>45713</v>
      </c>
      <c r="C319" t="s">
        <v>18</v>
      </c>
      <c r="D319" t="s">
        <v>60</v>
      </c>
      <c r="E319" t="s">
        <v>61</v>
      </c>
      <c r="F319" t="s">
        <v>43</v>
      </c>
      <c r="G319" t="s">
        <v>22</v>
      </c>
      <c r="H319" t="s">
        <v>112</v>
      </c>
      <c r="I319" t="s">
        <v>70</v>
      </c>
      <c r="J319" t="s">
        <v>71</v>
      </c>
      <c r="K319">
        <v>2</v>
      </c>
      <c r="L319" s="3">
        <v>85500</v>
      </c>
      <c r="M319" s="3">
        <v>62000</v>
      </c>
      <c r="N319">
        <v>0</v>
      </c>
      <c r="O319" t="s">
        <v>37</v>
      </c>
      <c r="P319" t="s">
        <v>27</v>
      </c>
      <c r="Q319" s="3">
        <f>Table13[[#This Row],[Quantity]]*Table13[[#This Row],[UnitPrice_NGN]]</f>
        <v>171000</v>
      </c>
      <c r="R319" s="9">
        <f>Table13[[#This Row],[GrossRevenue]]*(1-Table13[[#This Row],[DiscountRate]])</f>
        <v>171000</v>
      </c>
      <c r="S319" s="3">
        <f>Table13[[#This Row],[Quantity]]*Table13[[#This Row],[UnitCost_NGN]]</f>
        <v>124000</v>
      </c>
      <c r="T319" s="3">
        <f>Table13[[#This Row],[NetRevenue]]-Table13[[#This Row],[TotalCost]]</f>
        <v>47000</v>
      </c>
      <c r="U319" s="3"/>
    </row>
    <row r="320" spans="1:21" x14ac:dyDescent="0.25">
      <c r="A320" t="s">
        <v>625</v>
      </c>
      <c r="B320" s="20">
        <v>45837</v>
      </c>
      <c r="C320" t="s">
        <v>40</v>
      </c>
      <c r="D320" t="s">
        <v>83</v>
      </c>
      <c r="E320" t="s">
        <v>84</v>
      </c>
      <c r="F320" t="s">
        <v>85</v>
      </c>
      <c r="G320" t="s">
        <v>22</v>
      </c>
      <c r="H320" t="s">
        <v>112</v>
      </c>
      <c r="I320" t="s">
        <v>102</v>
      </c>
      <c r="J320" t="s">
        <v>25</v>
      </c>
      <c r="K320">
        <v>12</v>
      </c>
      <c r="L320" s="3">
        <v>42000</v>
      </c>
      <c r="M320" s="3">
        <v>27300</v>
      </c>
      <c r="N320">
        <v>0.05</v>
      </c>
      <c r="O320" t="s">
        <v>64</v>
      </c>
      <c r="P320" t="s">
        <v>133</v>
      </c>
      <c r="Q320" s="3">
        <f>Table13[[#This Row],[Quantity]]*Table13[[#This Row],[UnitPrice_NGN]]</f>
        <v>504000</v>
      </c>
      <c r="R320" s="9">
        <f>Table13[[#This Row],[GrossRevenue]]*(1-Table13[[#This Row],[DiscountRate]])</f>
        <v>478800</v>
      </c>
      <c r="S320" s="3">
        <f>Table13[[#This Row],[Quantity]]*Table13[[#This Row],[UnitCost_NGN]]</f>
        <v>327600</v>
      </c>
      <c r="T320" s="3">
        <f>Table13[[#This Row],[NetRevenue]]-Table13[[#This Row],[TotalCost]]</f>
        <v>151200</v>
      </c>
      <c r="U320" s="3"/>
    </row>
    <row r="321" spans="1:21" x14ac:dyDescent="0.25">
      <c r="A321" t="s">
        <v>626</v>
      </c>
      <c r="B321" s="20">
        <v>45668</v>
      </c>
      <c r="C321" t="s">
        <v>40</v>
      </c>
      <c r="D321" t="s">
        <v>110</v>
      </c>
      <c r="E321" t="s">
        <v>111</v>
      </c>
      <c r="F321" t="s">
        <v>85</v>
      </c>
      <c r="G321" t="s">
        <v>22</v>
      </c>
      <c r="H321" t="s">
        <v>96</v>
      </c>
      <c r="I321" t="s">
        <v>75</v>
      </c>
      <c r="J321" t="s">
        <v>36</v>
      </c>
      <c r="K321">
        <v>1</v>
      </c>
      <c r="L321" s="3">
        <v>198000</v>
      </c>
      <c r="M321" s="3">
        <v>123500</v>
      </c>
      <c r="N321">
        <v>0</v>
      </c>
      <c r="O321" t="s">
        <v>47</v>
      </c>
      <c r="P321" t="s">
        <v>48</v>
      </c>
      <c r="Q321" s="3">
        <f>Table13[[#This Row],[Quantity]]*Table13[[#This Row],[UnitPrice_NGN]]</f>
        <v>198000</v>
      </c>
      <c r="R321" s="9">
        <f>Table13[[#This Row],[GrossRevenue]]*(1-Table13[[#This Row],[DiscountRate]])</f>
        <v>198000</v>
      </c>
      <c r="S321" s="3">
        <f>Table13[[#This Row],[Quantity]]*Table13[[#This Row],[UnitCost_NGN]]</f>
        <v>123500</v>
      </c>
      <c r="T321" s="3">
        <f>Table13[[#This Row],[NetRevenue]]-Table13[[#This Row],[TotalCost]]</f>
        <v>74500</v>
      </c>
      <c r="U321" s="3"/>
    </row>
    <row r="322" spans="1:21" x14ac:dyDescent="0.25">
      <c r="A322" t="s">
        <v>628</v>
      </c>
      <c r="B322" s="20">
        <v>45962</v>
      </c>
      <c r="C322" t="s">
        <v>40</v>
      </c>
      <c r="D322" t="s">
        <v>83</v>
      </c>
      <c r="E322" t="s">
        <v>84</v>
      </c>
      <c r="F322" t="s">
        <v>85</v>
      </c>
      <c r="G322" t="s">
        <v>22</v>
      </c>
      <c r="H322" t="s">
        <v>112</v>
      </c>
      <c r="I322" t="s">
        <v>75</v>
      </c>
      <c r="J322" t="s">
        <v>36</v>
      </c>
      <c r="K322">
        <v>1</v>
      </c>
      <c r="L322" s="3">
        <v>162000</v>
      </c>
      <c r="M322" s="3">
        <v>123500</v>
      </c>
      <c r="N322">
        <v>0</v>
      </c>
      <c r="O322" t="s">
        <v>90</v>
      </c>
      <c r="P322" t="s">
        <v>133</v>
      </c>
      <c r="Q322" s="3">
        <f>Table13[[#This Row],[Quantity]]*Table13[[#This Row],[UnitPrice_NGN]]</f>
        <v>162000</v>
      </c>
      <c r="R322" s="9">
        <f>Table13[[#This Row],[GrossRevenue]]*(1-Table13[[#This Row],[DiscountRate]])</f>
        <v>162000</v>
      </c>
      <c r="S322" s="3">
        <f>Table13[[#This Row],[Quantity]]*Table13[[#This Row],[UnitCost_NGN]]</f>
        <v>123500</v>
      </c>
      <c r="T322" s="3">
        <f>Table13[[#This Row],[NetRevenue]]-Table13[[#This Row],[TotalCost]]</f>
        <v>38500</v>
      </c>
      <c r="U322" s="3"/>
    </row>
    <row r="323" spans="1:21" x14ac:dyDescent="0.25">
      <c r="A323" t="s">
        <v>630</v>
      </c>
      <c r="B323" s="20">
        <v>45755</v>
      </c>
      <c r="C323" t="s">
        <v>30</v>
      </c>
      <c r="D323" t="s">
        <v>83</v>
      </c>
      <c r="E323" t="s">
        <v>84</v>
      </c>
      <c r="F323" t="s">
        <v>85</v>
      </c>
      <c r="G323" t="s">
        <v>62</v>
      </c>
      <c r="H323" t="s">
        <v>63</v>
      </c>
      <c r="I323" t="s">
        <v>45</v>
      </c>
      <c r="J323" t="s">
        <v>46</v>
      </c>
      <c r="K323">
        <v>1</v>
      </c>
      <c r="L323" s="3">
        <v>16650</v>
      </c>
      <c r="M323" s="3">
        <v>14500</v>
      </c>
      <c r="N323">
        <v>0</v>
      </c>
      <c r="O323" t="s">
        <v>57</v>
      </c>
      <c r="P323" t="s">
        <v>72</v>
      </c>
      <c r="Q323" s="3">
        <f>Table13[[#This Row],[Quantity]]*Table13[[#This Row],[UnitPrice_NGN]]</f>
        <v>16650</v>
      </c>
      <c r="R323" s="9">
        <f>Table13[[#This Row],[GrossRevenue]]*(1-Table13[[#This Row],[DiscountRate]])</f>
        <v>16650</v>
      </c>
      <c r="S323" s="3">
        <f>Table13[[#This Row],[Quantity]]*Table13[[#This Row],[UnitCost_NGN]]</f>
        <v>14500</v>
      </c>
      <c r="T323" s="3">
        <f>Table13[[#This Row],[NetRevenue]]-Table13[[#This Row],[TotalCost]]</f>
        <v>2150</v>
      </c>
      <c r="U323" s="3"/>
    </row>
    <row r="324" spans="1:21" x14ac:dyDescent="0.25">
      <c r="A324" t="s">
        <v>632</v>
      </c>
      <c r="B324" s="20">
        <v>45685</v>
      </c>
      <c r="C324" t="s">
        <v>18</v>
      </c>
      <c r="D324" t="s">
        <v>19</v>
      </c>
      <c r="E324" t="s">
        <v>20</v>
      </c>
      <c r="F324" t="s">
        <v>21</v>
      </c>
      <c r="G324" t="s">
        <v>33</v>
      </c>
      <c r="H324" t="s">
        <v>96</v>
      </c>
      <c r="I324" t="s">
        <v>113</v>
      </c>
      <c r="J324" t="s">
        <v>36</v>
      </c>
      <c r="K324">
        <v>1</v>
      </c>
      <c r="L324" s="3">
        <v>160000</v>
      </c>
      <c r="M324" s="3">
        <v>120750</v>
      </c>
      <c r="N324">
        <v>0</v>
      </c>
      <c r="O324" t="s">
        <v>57</v>
      </c>
      <c r="P324" t="s">
        <v>48</v>
      </c>
      <c r="Q324" s="3">
        <f>Table13[[#This Row],[Quantity]]*Table13[[#This Row],[UnitPrice_NGN]]</f>
        <v>160000</v>
      </c>
      <c r="R324" s="9">
        <f>Table13[[#This Row],[GrossRevenue]]*(1-Table13[[#This Row],[DiscountRate]])</f>
        <v>160000</v>
      </c>
      <c r="S324" s="3">
        <f>Table13[[#This Row],[Quantity]]*Table13[[#This Row],[UnitCost_NGN]]</f>
        <v>120750</v>
      </c>
      <c r="T324" s="3">
        <f>Table13[[#This Row],[NetRevenue]]-Table13[[#This Row],[TotalCost]]</f>
        <v>39250</v>
      </c>
      <c r="U324" s="3"/>
    </row>
    <row r="325" spans="1:21" x14ac:dyDescent="0.25">
      <c r="A325" t="s">
        <v>634</v>
      </c>
      <c r="B325" s="20">
        <v>45763</v>
      </c>
      <c r="C325" t="s">
        <v>30</v>
      </c>
      <c r="D325" t="s">
        <v>120</v>
      </c>
      <c r="E325" t="s">
        <v>121</v>
      </c>
      <c r="F325" t="s">
        <v>122</v>
      </c>
      <c r="G325" t="s">
        <v>62</v>
      </c>
      <c r="H325" t="s">
        <v>96</v>
      </c>
      <c r="I325" t="s">
        <v>24</v>
      </c>
      <c r="J325" t="s">
        <v>25</v>
      </c>
      <c r="K325">
        <v>4</v>
      </c>
      <c r="L325" s="3">
        <v>20900</v>
      </c>
      <c r="M325" s="3">
        <v>12350</v>
      </c>
      <c r="N325">
        <v>0</v>
      </c>
      <c r="O325" t="s">
        <v>37</v>
      </c>
      <c r="P325" t="s">
        <v>48</v>
      </c>
      <c r="Q325" s="3">
        <f>Table13[[#This Row],[Quantity]]*Table13[[#This Row],[UnitPrice_NGN]]</f>
        <v>83600</v>
      </c>
      <c r="R325" s="9">
        <f>Table13[[#This Row],[GrossRevenue]]*(1-Table13[[#This Row],[DiscountRate]])</f>
        <v>83600</v>
      </c>
      <c r="S325" s="3">
        <f>Table13[[#This Row],[Quantity]]*Table13[[#This Row],[UnitCost_NGN]]</f>
        <v>49400</v>
      </c>
      <c r="T325" s="3">
        <f>Table13[[#This Row],[NetRevenue]]-Table13[[#This Row],[TotalCost]]</f>
        <v>34200</v>
      </c>
      <c r="U325" s="3"/>
    </row>
    <row r="326" spans="1:21" x14ac:dyDescent="0.25">
      <c r="A326" t="s">
        <v>636</v>
      </c>
      <c r="B326" s="20">
        <v>45793</v>
      </c>
      <c r="C326" t="s">
        <v>30</v>
      </c>
      <c r="D326" t="s">
        <v>41</v>
      </c>
      <c r="E326" t="s">
        <v>42</v>
      </c>
      <c r="F326" t="s">
        <v>43</v>
      </c>
      <c r="G326" t="s">
        <v>33</v>
      </c>
      <c r="H326" t="s">
        <v>34</v>
      </c>
      <c r="I326" t="s">
        <v>51</v>
      </c>
      <c r="J326" t="s">
        <v>36</v>
      </c>
      <c r="K326">
        <v>6</v>
      </c>
      <c r="L326" s="3">
        <v>280000</v>
      </c>
      <c r="M326" s="3">
        <v>220500</v>
      </c>
      <c r="N326">
        <v>0.15</v>
      </c>
      <c r="O326" t="s">
        <v>47</v>
      </c>
      <c r="P326" t="s">
        <v>48</v>
      </c>
      <c r="Q326" s="3">
        <f>Table13[[#This Row],[Quantity]]*Table13[[#This Row],[UnitPrice_NGN]]</f>
        <v>1680000</v>
      </c>
      <c r="R326" s="9">
        <f>Table13[[#This Row],[GrossRevenue]]*(1-Table13[[#This Row],[DiscountRate]])</f>
        <v>1428000</v>
      </c>
      <c r="S326" s="3">
        <f>Table13[[#This Row],[Quantity]]*Table13[[#This Row],[UnitCost_NGN]]</f>
        <v>1323000</v>
      </c>
      <c r="T326" s="3">
        <f>Table13[[#This Row],[NetRevenue]]-Table13[[#This Row],[TotalCost]]</f>
        <v>105000</v>
      </c>
      <c r="U326" s="3"/>
    </row>
    <row r="327" spans="1:21" x14ac:dyDescent="0.25">
      <c r="A327" t="s">
        <v>637</v>
      </c>
      <c r="B327" s="20">
        <v>45896</v>
      </c>
      <c r="C327" t="s">
        <v>18</v>
      </c>
      <c r="D327" t="s">
        <v>88</v>
      </c>
      <c r="E327" t="s">
        <v>89</v>
      </c>
      <c r="F327" t="s">
        <v>43</v>
      </c>
      <c r="G327" t="s">
        <v>62</v>
      </c>
      <c r="H327" t="s">
        <v>23</v>
      </c>
      <c r="I327" t="s">
        <v>55</v>
      </c>
      <c r="J327" t="s">
        <v>56</v>
      </c>
      <c r="K327">
        <v>2</v>
      </c>
      <c r="L327" s="3">
        <v>43200</v>
      </c>
      <c r="M327" s="3">
        <v>30000</v>
      </c>
      <c r="N327">
        <v>0.05</v>
      </c>
      <c r="O327" t="s">
        <v>148</v>
      </c>
      <c r="P327" t="s">
        <v>48</v>
      </c>
      <c r="Q327" s="3">
        <f>Table13[[#This Row],[Quantity]]*Table13[[#This Row],[UnitPrice_NGN]]</f>
        <v>86400</v>
      </c>
      <c r="R327" s="9">
        <f>Table13[[#This Row],[GrossRevenue]]*(1-Table13[[#This Row],[DiscountRate]])</f>
        <v>82080</v>
      </c>
      <c r="S327" s="3">
        <f>Table13[[#This Row],[Quantity]]*Table13[[#This Row],[UnitCost_NGN]]</f>
        <v>60000</v>
      </c>
      <c r="T327" s="3">
        <f>Table13[[#This Row],[NetRevenue]]-Table13[[#This Row],[TotalCost]]</f>
        <v>22080</v>
      </c>
      <c r="U327" s="3"/>
    </row>
    <row r="328" spans="1:21" x14ac:dyDescent="0.25">
      <c r="A328" t="s">
        <v>639</v>
      </c>
      <c r="B328" s="20">
        <v>45869</v>
      </c>
      <c r="C328" t="s">
        <v>18</v>
      </c>
      <c r="D328" t="s">
        <v>136</v>
      </c>
      <c r="E328" t="s">
        <v>137</v>
      </c>
      <c r="F328" t="s">
        <v>122</v>
      </c>
      <c r="G328" t="s">
        <v>22</v>
      </c>
      <c r="H328" t="s">
        <v>112</v>
      </c>
      <c r="I328" t="s">
        <v>75</v>
      </c>
      <c r="J328" t="s">
        <v>36</v>
      </c>
      <c r="K328">
        <v>5</v>
      </c>
      <c r="L328" s="3">
        <v>162000</v>
      </c>
      <c r="M328" s="3">
        <v>130000</v>
      </c>
      <c r="N328">
        <v>0.1</v>
      </c>
      <c r="O328" t="s">
        <v>26</v>
      </c>
      <c r="P328" t="s">
        <v>133</v>
      </c>
      <c r="Q328" s="3">
        <f>Table13[[#This Row],[Quantity]]*Table13[[#This Row],[UnitPrice_NGN]]</f>
        <v>810000</v>
      </c>
      <c r="R328" s="9">
        <f>Table13[[#This Row],[GrossRevenue]]*(1-Table13[[#This Row],[DiscountRate]])</f>
        <v>729000</v>
      </c>
      <c r="S328" s="3">
        <f>Table13[[#This Row],[Quantity]]*Table13[[#This Row],[UnitCost_NGN]]</f>
        <v>650000</v>
      </c>
      <c r="T328" s="3">
        <f>Table13[[#This Row],[NetRevenue]]-Table13[[#This Row],[TotalCost]]</f>
        <v>79000</v>
      </c>
      <c r="U328" s="3"/>
    </row>
    <row r="329" spans="1:21" x14ac:dyDescent="0.25">
      <c r="A329" t="s">
        <v>640</v>
      </c>
      <c r="B329" s="20">
        <v>45811</v>
      </c>
      <c r="C329" t="s">
        <v>40</v>
      </c>
      <c r="D329" t="s">
        <v>120</v>
      </c>
      <c r="E329" t="s">
        <v>121</v>
      </c>
      <c r="F329" t="s">
        <v>122</v>
      </c>
      <c r="G329" t="s">
        <v>22</v>
      </c>
      <c r="H329" t="s">
        <v>23</v>
      </c>
      <c r="I329" t="s">
        <v>93</v>
      </c>
      <c r="J329" t="s">
        <v>46</v>
      </c>
      <c r="K329">
        <v>8</v>
      </c>
      <c r="L329" s="3">
        <v>95000</v>
      </c>
      <c r="M329" s="3">
        <v>82000</v>
      </c>
      <c r="N329">
        <v>0.05</v>
      </c>
      <c r="O329" t="s">
        <v>90</v>
      </c>
      <c r="P329" t="s">
        <v>48</v>
      </c>
      <c r="Q329" s="3">
        <f>Table13[[#This Row],[Quantity]]*Table13[[#This Row],[UnitPrice_NGN]]</f>
        <v>760000</v>
      </c>
      <c r="R329" s="9">
        <f>Table13[[#This Row],[GrossRevenue]]*(1-Table13[[#This Row],[DiscountRate]])</f>
        <v>722000</v>
      </c>
      <c r="S329" s="3">
        <f>Table13[[#This Row],[Quantity]]*Table13[[#This Row],[UnitCost_NGN]]</f>
        <v>656000</v>
      </c>
      <c r="T329" s="3">
        <f>Table13[[#This Row],[NetRevenue]]-Table13[[#This Row],[TotalCost]]</f>
        <v>66000</v>
      </c>
      <c r="U329" s="3"/>
    </row>
    <row r="330" spans="1:21" x14ac:dyDescent="0.25">
      <c r="A330" t="s">
        <v>641</v>
      </c>
      <c r="B330" s="20">
        <v>45722</v>
      </c>
      <c r="C330" t="s">
        <v>40</v>
      </c>
      <c r="D330" t="s">
        <v>110</v>
      </c>
      <c r="E330" t="s">
        <v>111</v>
      </c>
      <c r="F330" t="s">
        <v>85</v>
      </c>
      <c r="G330" t="s">
        <v>22</v>
      </c>
      <c r="H330" t="s">
        <v>112</v>
      </c>
      <c r="I330" t="s">
        <v>51</v>
      </c>
      <c r="J330" t="s">
        <v>36</v>
      </c>
      <c r="K330">
        <v>1</v>
      </c>
      <c r="L330" s="3">
        <v>266000</v>
      </c>
      <c r="M330" s="3">
        <v>210000</v>
      </c>
      <c r="N330">
        <v>0</v>
      </c>
      <c r="O330" t="s">
        <v>64</v>
      </c>
      <c r="P330" t="s">
        <v>48</v>
      </c>
      <c r="Q330" s="3">
        <f>Table13[[#This Row],[Quantity]]*Table13[[#This Row],[UnitPrice_NGN]]</f>
        <v>266000</v>
      </c>
      <c r="R330" s="9">
        <f>Table13[[#This Row],[GrossRevenue]]*(1-Table13[[#This Row],[DiscountRate]])</f>
        <v>266000</v>
      </c>
      <c r="S330" s="3">
        <f>Table13[[#This Row],[Quantity]]*Table13[[#This Row],[UnitCost_NGN]]</f>
        <v>210000</v>
      </c>
      <c r="T330" s="3">
        <f>Table13[[#This Row],[NetRevenue]]-Table13[[#This Row],[TotalCost]]</f>
        <v>56000</v>
      </c>
      <c r="U330" s="3"/>
    </row>
    <row r="331" spans="1:21" x14ac:dyDescent="0.25">
      <c r="A331" t="s">
        <v>643</v>
      </c>
      <c r="B331" s="20">
        <v>45692</v>
      </c>
      <c r="C331" t="s">
        <v>40</v>
      </c>
      <c r="D331" t="s">
        <v>157</v>
      </c>
      <c r="E331" t="s">
        <v>158</v>
      </c>
      <c r="F331" t="s">
        <v>21</v>
      </c>
      <c r="G331" t="s">
        <v>33</v>
      </c>
      <c r="H331" t="s">
        <v>23</v>
      </c>
      <c r="I331" t="s">
        <v>24</v>
      </c>
      <c r="J331" t="s">
        <v>25</v>
      </c>
      <c r="K331">
        <v>8</v>
      </c>
      <c r="L331" s="3">
        <v>22000</v>
      </c>
      <c r="M331" s="3">
        <v>13000</v>
      </c>
      <c r="N331">
        <v>0.15</v>
      </c>
      <c r="O331" t="s">
        <v>47</v>
      </c>
      <c r="P331" t="s">
        <v>48</v>
      </c>
      <c r="Q331" s="3">
        <f>Table13[[#This Row],[Quantity]]*Table13[[#This Row],[UnitPrice_NGN]]</f>
        <v>176000</v>
      </c>
      <c r="R331" s="9">
        <f>Table13[[#This Row],[GrossRevenue]]*(1-Table13[[#This Row],[DiscountRate]])</f>
        <v>149600</v>
      </c>
      <c r="S331" s="3">
        <f>Table13[[#This Row],[Quantity]]*Table13[[#This Row],[UnitCost_NGN]]</f>
        <v>104000</v>
      </c>
      <c r="T331" s="3">
        <f>Table13[[#This Row],[NetRevenue]]-Table13[[#This Row],[TotalCost]]</f>
        <v>45600</v>
      </c>
      <c r="U331" s="3"/>
    </row>
    <row r="332" spans="1:21" x14ac:dyDescent="0.25">
      <c r="A332" t="s">
        <v>644</v>
      </c>
      <c r="B332" s="20">
        <v>45977</v>
      </c>
      <c r="C332" t="s">
        <v>30</v>
      </c>
      <c r="D332" t="s">
        <v>78</v>
      </c>
      <c r="E332" t="s">
        <v>79</v>
      </c>
      <c r="F332" t="s">
        <v>80</v>
      </c>
      <c r="G332" t="s">
        <v>33</v>
      </c>
      <c r="H332" t="s">
        <v>96</v>
      </c>
      <c r="I332" t="s">
        <v>70</v>
      </c>
      <c r="J332" t="s">
        <v>71</v>
      </c>
      <c r="K332">
        <v>3</v>
      </c>
      <c r="L332" s="3">
        <v>104500</v>
      </c>
      <c r="M332" s="3">
        <v>58900</v>
      </c>
      <c r="N332">
        <v>0.15</v>
      </c>
      <c r="O332" t="s">
        <v>26</v>
      </c>
      <c r="P332" t="s">
        <v>133</v>
      </c>
      <c r="Q332" s="3">
        <f>Table13[[#This Row],[Quantity]]*Table13[[#This Row],[UnitPrice_NGN]]</f>
        <v>313500</v>
      </c>
      <c r="R332" s="9">
        <f>Table13[[#This Row],[GrossRevenue]]*(1-Table13[[#This Row],[DiscountRate]])</f>
        <v>266475</v>
      </c>
      <c r="S332" s="3">
        <f>Table13[[#This Row],[Quantity]]*Table13[[#This Row],[UnitCost_NGN]]</f>
        <v>176700</v>
      </c>
      <c r="T332" s="3">
        <f>Table13[[#This Row],[NetRevenue]]-Table13[[#This Row],[TotalCost]]</f>
        <v>89775</v>
      </c>
      <c r="U332" s="3"/>
    </row>
    <row r="333" spans="1:21" x14ac:dyDescent="0.25">
      <c r="A333" t="s">
        <v>645</v>
      </c>
      <c r="B333" s="20">
        <v>45946</v>
      </c>
      <c r="C333" t="s">
        <v>40</v>
      </c>
      <c r="D333" t="s">
        <v>157</v>
      </c>
      <c r="E333" t="s">
        <v>158</v>
      </c>
      <c r="F333" t="s">
        <v>21</v>
      </c>
      <c r="G333" t="s">
        <v>62</v>
      </c>
      <c r="H333" t="s">
        <v>112</v>
      </c>
      <c r="I333" t="s">
        <v>75</v>
      </c>
      <c r="J333" t="s">
        <v>36</v>
      </c>
      <c r="K333">
        <v>4</v>
      </c>
      <c r="L333" s="3">
        <v>180000</v>
      </c>
      <c r="M333" s="3">
        <v>123500</v>
      </c>
      <c r="N333">
        <v>0</v>
      </c>
      <c r="O333" t="s">
        <v>57</v>
      </c>
      <c r="P333" t="s">
        <v>48</v>
      </c>
      <c r="Q333" s="3">
        <f>Table13[[#This Row],[Quantity]]*Table13[[#This Row],[UnitPrice_NGN]]</f>
        <v>720000</v>
      </c>
      <c r="R333" s="9">
        <f>Table13[[#This Row],[GrossRevenue]]*(1-Table13[[#This Row],[DiscountRate]])</f>
        <v>720000</v>
      </c>
      <c r="S333" s="3">
        <f>Table13[[#This Row],[Quantity]]*Table13[[#This Row],[UnitCost_NGN]]</f>
        <v>494000</v>
      </c>
      <c r="T333" s="3">
        <f>Table13[[#This Row],[NetRevenue]]-Table13[[#This Row],[TotalCost]]</f>
        <v>226000</v>
      </c>
      <c r="U333" s="3"/>
    </row>
    <row r="334" spans="1:21" x14ac:dyDescent="0.25">
      <c r="A334" t="s">
        <v>647</v>
      </c>
      <c r="B334" s="20">
        <v>45746</v>
      </c>
      <c r="C334" t="s">
        <v>40</v>
      </c>
      <c r="D334" t="s">
        <v>120</v>
      </c>
      <c r="E334" t="s">
        <v>121</v>
      </c>
      <c r="F334" t="s">
        <v>122</v>
      </c>
      <c r="G334" t="s">
        <v>44</v>
      </c>
      <c r="H334" t="s">
        <v>23</v>
      </c>
      <c r="I334" t="s">
        <v>55</v>
      </c>
      <c r="J334" t="s">
        <v>56</v>
      </c>
      <c r="K334">
        <v>3</v>
      </c>
      <c r="L334" s="3">
        <v>48000</v>
      </c>
      <c r="M334" s="3">
        <v>31500</v>
      </c>
      <c r="N334">
        <v>0</v>
      </c>
      <c r="O334" t="s">
        <v>26</v>
      </c>
      <c r="P334" t="s">
        <v>48</v>
      </c>
      <c r="Q334" s="3">
        <f>Table13[[#This Row],[Quantity]]*Table13[[#This Row],[UnitPrice_NGN]]</f>
        <v>144000</v>
      </c>
      <c r="R334" s="9">
        <f>Table13[[#This Row],[GrossRevenue]]*(1-Table13[[#This Row],[DiscountRate]])</f>
        <v>144000</v>
      </c>
      <c r="S334" s="3">
        <f>Table13[[#This Row],[Quantity]]*Table13[[#This Row],[UnitCost_NGN]]</f>
        <v>94500</v>
      </c>
      <c r="T334" s="3">
        <f>Table13[[#This Row],[NetRevenue]]-Table13[[#This Row],[TotalCost]]</f>
        <v>49500</v>
      </c>
      <c r="U334" s="3"/>
    </row>
    <row r="335" spans="1:21" x14ac:dyDescent="0.25">
      <c r="A335" t="s">
        <v>648</v>
      </c>
      <c r="B335" s="20">
        <v>45901</v>
      </c>
      <c r="C335" t="s">
        <v>40</v>
      </c>
      <c r="D335" t="s">
        <v>83</v>
      </c>
      <c r="E335" t="s">
        <v>84</v>
      </c>
      <c r="F335" t="s">
        <v>85</v>
      </c>
      <c r="G335" t="s">
        <v>22</v>
      </c>
      <c r="H335" t="s">
        <v>63</v>
      </c>
      <c r="I335" t="s">
        <v>35</v>
      </c>
      <c r="J335" t="s">
        <v>36</v>
      </c>
      <c r="K335">
        <v>10</v>
      </c>
      <c r="L335" s="3">
        <v>450000</v>
      </c>
      <c r="M335" s="3">
        <v>350000</v>
      </c>
      <c r="N335">
        <v>0</v>
      </c>
      <c r="O335" t="s">
        <v>57</v>
      </c>
      <c r="P335" t="s">
        <v>48</v>
      </c>
      <c r="Q335" s="3">
        <f>Table13[[#This Row],[Quantity]]*Table13[[#This Row],[UnitPrice_NGN]]</f>
        <v>4500000</v>
      </c>
      <c r="R335" s="9">
        <f>Table13[[#This Row],[GrossRevenue]]*(1-Table13[[#This Row],[DiscountRate]])</f>
        <v>4500000</v>
      </c>
      <c r="S335" s="3">
        <f>Table13[[#This Row],[Quantity]]*Table13[[#This Row],[UnitCost_NGN]]</f>
        <v>3500000</v>
      </c>
      <c r="T335" s="3">
        <f>Table13[[#This Row],[NetRevenue]]-Table13[[#This Row],[TotalCost]]</f>
        <v>1000000</v>
      </c>
      <c r="U335" s="3"/>
    </row>
    <row r="336" spans="1:21" x14ac:dyDescent="0.25">
      <c r="A336" t="s">
        <v>650</v>
      </c>
      <c r="B336" s="20">
        <v>45726</v>
      </c>
      <c r="C336" t="s">
        <v>30</v>
      </c>
      <c r="D336" t="s">
        <v>41</v>
      </c>
      <c r="E336" t="s">
        <v>42</v>
      </c>
      <c r="F336" t="s">
        <v>43</v>
      </c>
      <c r="G336" t="s">
        <v>33</v>
      </c>
      <c r="H336" t="s">
        <v>63</v>
      </c>
      <c r="I336" t="s">
        <v>70</v>
      </c>
      <c r="J336" t="s">
        <v>71</v>
      </c>
      <c r="K336">
        <v>8</v>
      </c>
      <c r="L336" s="3">
        <v>104500</v>
      </c>
      <c r="M336" s="3">
        <v>58900</v>
      </c>
      <c r="N336">
        <v>0</v>
      </c>
      <c r="O336" t="s">
        <v>57</v>
      </c>
      <c r="P336" t="s">
        <v>48</v>
      </c>
      <c r="Q336" s="3">
        <f>Table13[[#This Row],[Quantity]]*Table13[[#This Row],[UnitPrice_NGN]]</f>
        <v>836000</v>
      </c>
      <c r="R336" s="9">
        <f>Table13[[#This Row],[GrossRevenue]]*(1-Table13[[#This Row],[DiscountRate]])</f>
        <v>836000</v>
      </c>
      <c r="S336" s="3">
        <f>Table13[[#This Row],[Quantity]]*Table13[[#This Row],[UnitCost_NGN]]</f>
        <v>471200</v>
      </c>
      <c r="T336" s="3">
        <f>Table13[[#This Row],[NetRevenue]]-Table13[[#This Row],[TotalCost]]</f>
        <v>364800</v>
      </c>
      <c r="U336" s="3"/>
    </row>
    <row r="337" spans="1:21" x14ac:dyDescent="0.25">
      <c r="A337" t="s">
        <v>651</v>
      </c>
      <c r="B337" s="20">
        <v>45766</v>
      </c>
      <c r="C337" t="s">
        <v>30</v>
      </c>
      <c r="D337" t="s">
        <v>83</v>
      </c>
      <c r="E337" t="s">
        <v>84</v>
      </c>
      <c r="F337" t="s">
        <v>85</v>
      </c>
      <c r="G337" t="s">
        <v>33</v>
      </c>
      <c r="H337" t="s">
        <v>23</v>
      </c>
      <c r="I337" t="s">
        <v>102</v>
      </c>
      <c r="J337" t="s">
        <v>25</v>
      </c>
      <c r="K337">
        <v>4</v>
      </c>
      <c r="L337" s="3">
        <v>37800</v>
      </c>
      <c r="M337" s="3">
        <v>26000</v>
      </c>
      <c r="N337">
        <v>0.05</v>
      </c>
      <c r="O337" t="s">
        <v>47</v>
      </c>
      <c r="P337" t="s">
        <v>72</v>
      </c>
      <c r="Q337" s="3">
        <f>Table13[[#This Row],[Quantity]]*Table13[[#This Row],[UnitPrice_NGN]]</f>
        <v>151200</v>
      </c>
      <c r="R337" s="9">
        <f>Table13[[#This Row],[GrossRevenue]]*(1-Table13[[#This Row],[DiscountRate]])</f>
        <v>143640</v>
      </c>
      <c r="S337" s="3">
        <f>Table13[[#This Row],[Quantity]]*Table13[[#This Row],[UnitCost_NGN]]</f>
        <v>104000</v>
      </c>
      <c r="T337" s="3">
        <f>Table13[[#This Row],[NetRevenue]]-Table13[[#This Row],[TotalCost]]</f>
        <v>39640</v>
      </c>
      <c r="U337" s="3"/>
    </row>
    <row r="338" spans="1:21" x14ac:dyDescent="0.25">
      <c r="A338" t="s">
        <v>653</v>
      </c>
      <c r="B338" s="20">
        <v>45917</v>
      </c>
      <c r="C338" t="s">
        <v>18</v>
      </c>
      <c r="D338" t="s">
        <v>78</v>
      </c>
      <c r="E338" t="s">
        <v>79</v>
      </c>
      <c r="F338" t="s">
        <v>80</v>
      </c>
      <c r="G338" t="s">
        <v>22</v>
      </c>
      <c r="H338" t="s">
        <v>34</v>
      </c>
      <c r="I338" t="s">
        <v>35</v>
      </c>
      <c r="J338" t="s">
        <v>36</v>
      </c>
      <c r="K338">
        <v>6</v>
      </c>
      <c r="L338" s="3">
        <v>405000</v>
      </c>
      <c r="M338" s="3">
        <v>350000</v>
      </c>
      <c r="N338">
        <v>0.15</v>
      </c>
      <c r="O338" t="s">
        <v>64</v>
      </c>
      <c r="P338" t="s">
        <v>72</v>
      </c>
      <c r="Q338" s="3">
        <f>Table13[[#This Row],[Quantity]]*Table13[[#This Row],[UnitPrice_NGN]]</f>
        <v>2430000</v>
      </c>
      <c r="R338" s="9">
        <f>Table13[[#This Row],[GrossRevenue]]*(1-Table13[[#This Row],[DiscountRate]])</f>
        <v>2065500</v>
      </c>
      <c r="S338" s="3">
        <f>Table13[[#This Row],[Quantity]]*Table13[[#This Row],[UnitCost_NGN]]</f>
        <v>2100000</v>
      </c>
      <c r="T338" s="3">
        <f>Table13[[#This Row],[NetRevenue]]-Table13[[#This Row],[TotalCost]]</f>
        <v>-34500</v>
      </c>
      <c r="U338" s="3"/>
    </row>
    <row r="339" spans="1:21" x14ac:dyDescent="0.25">
      <c r="A339" t="s">
        <v>655</v>
      </c>
      <c r="B339" s="20">
        <v>46018</v>
      </c>
      <c r="C339" t="s">
        <v>40</v>
      </c>
      <c r="D339" t="s">
        <v>31</v>
      </c>
      <c r="E339" t="s">
        <v>32</v>
      </c>
      <c r="F339" t="s">
        <v>21</v>
      </c>
      <c r="G339" t="s">
        <v>62</v>
      </c>
      <c r="H339" t="s">
        <v>112</v>
      </c>
      <c r="I339" t="s">
        <v>113</v>
      </c>
      <c r="J339" t="s">
        <v>36</v>
      </c>
      <c r="K339">
        <v>2</v>
      </c>
      <c r="L339" s="3">
        <v>160000</v>
      </c>
      <c r="M339" s="3">
        <v>109250</v>
      </c>
      <c r="N339">
        <v>0</v>
      </c>
      <c r="O339" t="s">
        <v>26</v>
      </c>
      <c r="P339" t="s">
        <v>48</v>
      </c>
      <c r="Q339" s="3">
        <f>Table13[[#This Row],[Quantity]]*Table13[[#This Row],[UnitPrice_NGN]]</f>
        <v>320000</v>
      </c>
      <c r="R339" s="9">
        <f>Table13[[#This Row],[GrossRevenue]]*(1-Table13[[#This Row],[DiscountRate]])</f>
        <v>320000</v>
      </c>
      <c r="S339" s="3">
        <f>Table13[[#This Row],[Quantity]]*Table13[[#This Row],[UnitCost_NGN]]</f>
        <v>218500</v>
      </c>
      <c r="T339" s="3">
        <f>Table13[[#This Row],[NetRevenue]]-Table13[[#This Row],[TotalCost]]</f>
        <v>101500</v>
      </c>
      <c r="U339" s="3"/>
    </row>
    <row r="340" spans="1:21" x14ac:dyDescent="0.25">
      <c r="A340" t="s">
        <v>656</v>
      </c>
      <c r="B340" s="20">
        <v>45962</v>
      </c>
      <c r="C340" t="s">
        <v>18</v>
      </c>
      <c r="D340" t="s">
        <v>19</v>
      </c>
      <c r="E340" t="s">
        <v>20</v>
      </c>
      <c r="F340" t="s">
        <v>21</v>
      </c>
      <c r="G340" t="s">
        <v>33</v>
      </c>
      <c r="H340" t="s">
        <v>23</v>
      </c>
      <c r="I340" t="s">
        <v>24</v>
      </c>
      <c r="J340" t="s">
        <v>25</v>
      </c>
      <c r="K340">
        <v>5</v>
      </c>
      <c r="L340" s="3">
        <v>20900</v>
      </c>
      <c r="M340" s="3">
        <v>13000</v>
      </c>
      <c r="N340">
        <v>0.05</v>
      </c>
      <c r="O340" t="s">
        <v>47</v>
      </c>
      <c r="P340" t="s">
        <v>72</v>
      </c>
      <c r="Q340" s="3">
        <f>Table13[[#This Row],[Quantity]]*Table13[[#This Row],[UnitPrice_NGN]]</f>
        <v>104500</v>
      </c>
      <c r="R340" s="9">
        <f>Table13[[#This Row],[GrossRevenue]]*(1-Table13[[#This Row],[DiscountRate]])</f>
        <v>99275</v>
      </c>
      <c r="S340" s="3">
        <f>Table13[[#This Row],[Quantity]]*Table13[[#This Row],[UnitCost_NGN]]</f>
        <v>65000</v>
      </c>
      <c r="T340" s="3">
        <f>Table13[[#This Row],[NetRevenue]]-Table13[[#This Row],[TotalCost]]</f>
        <v>34275</v>
      </c>
      <c r="U340" s="3"/>
    </row>
    <row r="341" spans="1:21" x14ac:dyDescent="0.25">
      <c r="A341" t="s">
        <v>657</v>
      </c>
      <c r="B341" s="20">
        <v>45672</v>
      </c>
      <c r="C341" t="s">
        <v>18</v>
      </c>
      <c r="D341" t="s">
        <v>157</v>
      </c>
      <c r="E341" t="s">
        <v>158</v>
      </c>
      <c r="F341" t="s">
        <v>21</v>
      </c>
      <c r="G341" t="s">
        <v>44</v>
      </c>
      <c r="H341" t="s">
        <v>23</v>
      </c>
      <c r="I341" t="s">
        <v>105</v>
      </c>
      <c r="J341" t="s">
        <v>71</v>
      </c>
      <c r="K341">
        <v>8</v>
      </c>
      <c r="L341" s="3">
        <v>175000</v>
      </c>
      <c r="M341" s="3">
        <v>114000</v>
      </c>
      <c r="N341">
        <v>0</v>
      </c>
      <c r="O341" t="s">
        <v>64</v>
      </c>
      <c r="P341" t="s">
        <v>72</v>
      </c>
      <c r="Q341" s="3">
        <f>Table13[[#This Row],[Quantity]]*Table13[[#This Row],[UnitPrice_NGN]]</f>
        <v>1400000</v>
      </c>
      <c r="R341" s="9">
        <f>Table13[[#This Row],[GrossRevenue]]*(1-Table13[[#This Row],[DiscountRate]])</f>
        <v>1400000</v>
      </c>
      <c r="S341" s="3">
        <f>Table13[[#This Row],[Quantity]]*Table13[[#This Row],[UnitCost_NGN]]</f>
        <v>912000</v>
      </c>
      <c r="T341" s="3">
        <f>Table13[[#This Row],[NetRevenue]]-Table13[[#This Row],[TotalCost]]</f>
        <v>488000</v>
      </c>
      <c r="U341" s="3"/>
    </row>
    <row r="342" spans="1:21" x14ac:dyDescent="0.25">
      <c r="A342" t="s">
        <v>658</v>
      </c>
      <c r="B342" s="20">
        <v>45867</v>
      </c>
      <c r="C342" t="s">
        <v>18</v>
      </c>
      <c r="D342" t="s">
        <v>120</v>
      </c>
      <c r="E342" t="s">
        <v>121</v>
      </c>
      <c r="F342" t="s">
        <v>122</v>
      </c>
      <c r="G342" t="s">
        <v>22</v>
      </c>
      <c r="H342" t="s">
        <v>112</v>
      </c>
      <c r="I342" t="s">
        <v>113</v>
      </c>
      <c r="J342" t="s">
        <v>36</v>
      </c>
      <c r="K342">
        <v>2</v>
      </c>
      <c r="L342" s="3">
        <v>152000</v>
      </c>
      <c r="M342" s="3">
        <v>115000</v>
      </c>
      <c r="N342">
        <v>0.15</v>
      </c>
      <c r="O342" t="s">
        <v>90</v>
      </c>
      <c r="P342" t="s">
        <v>133</v>
      </c>
      <c r="Q342" s="3">
        <f>Table13[[#This Row],[Quantity]]*Table13[[#This Row],[UnitPrice_NGN]]</f>
        <v>304000</v>
      </c>
      <c r="R342" s="9">
        <f>Table13[[#This Row],[GrossRevenue]]*(1-Table13[[#This Row],[DiscountRate]])</f>
        <v>258400</v>
      </c>
      <c r="S342" s="3">
        <f>Table13[[#This Row],[Quantity]]*Table13[[#This Row],[UnitCost_NGN]]</f>
        <v>230000</v>
      </c>
      <c r="T342" s="3">
        <f>Table13[[#This Row],[NetRevenue]]-Table13[[#This Row],[TotalCost]]</f>
        <v>28400</v>
      </c>
      <c r="U342" s="3"/>
    </row>
    <row r="343" spans="1:21" x14ac:dyDescent="0.25">
      <c r="A343" t="s">
        <v>659</v>
      </c>
      <c r="B343" s="20">
        <v>45969</v>
      </c>
      <c r="C343" t="s">
        <v>30</v>
      </c>
      <c r="D343" t="s">
        <v>157</v>
      </c>
      <c r="E343" t="s">
        <v>158</v>
      </c>
      <c r="F343" t="s">
        <v>21</v>
      </c>
      <c r="G343" t="s">
        <v>62</v>
      </c>
      <c r="H343" t="s">
        <v>112</v>
      </c>
      <c r="I343" t="s">
        <v>24</v>
      </c>
      <c r="J343" t="s">
        <v>25</v>
      </c>
      <c r="K343">
        <v>4</v>
      </c>
      <c r="L343" s="3">
        <v>19800</v>
      </c>
      <c r="M343" s="3">
        <v>13000</v>
      </c>
      <c r="N343">
        <v>0</v>
      </c>
      <c r="O343" t="s">
        <v>26</v>
      </c>
      <c r="P343" t="s">
        <v>48</v>
      </c>
      <c r="Q343" s="3">
        <f>Table13[[#This Row],[Quantity]]*Table13[[#This Row],[UnitPrice_NGN]]</f>
        <v>79200</v>
      </c>
      <c r="R343" s="9">
        <f>Table13[[#This Row],[GrossRevenue]]*(1-Table13[[#This Row],[DiscountRate]])</f>
        <v>79200</v>
      </c>
      <c r="S343" s="3">
        <f>Table13[[#This Row],[Quantity]]*Table13[[#This Row],[UnitCost_NGN]]</f>
        <v>52000</v>
      </c>
      <c r="T343" s="3">
        <f>Table13[[#This Row],[NetRevenue]]-Table13[[#This Row],[TotalCost]]</f>
        <v>27200</v>
      </c>
      <c r="U343" s="3"/>
    </row>
    <row r="344" spans="1:21" x14ac:dyDescent="0.25">
      <c r="A344" t="s">
        <v>660</v>
      </c>
      <c r="B344" s="20">
        <v>45924</v>
      </c>
      <c r="C344" t="s">
        <v>40</v>
      </c>
      <c r="D344" t="s">
        <v>110</v>
      </c>
      <c r="E344" t="s">
        <v>111</v>
      </c>
      <c r="F344" t="s">
        <v>85</v>
      </c>
      <c r="G344" t="s">
        <v>22</v>
      </c>
      <c r="H344" t="s">
        <v>96</v>
      </c>
      <c r="I344" t="s">
        <v>105</v>
      </c>
      <c r="J344" t="s">
        <v>71</v>
      </c>
      <c r="K344">
        <v>2</v>
      </c>
      <c r="L344" s="3">
        <v>175000</v>
      </c>
      <c r="M344" s="3">
        <v>120000</v>
      </c>
      <c r="N344">
        <v>0.15</v>
      </c>
      <c r="O344" t="s">
        <v>47</v>
      </c>
      <c r="P344" t="s">
        <v>133</v>
      </c>
      <c r="Q344" s="3">
        <f>Table13[[#This Row],[Quantity]]*Table13[[#This Row],[UnitPrice_NGN]]</f>
        <v>350000</v>
      </c>
      <c r="R344" s="9">
        <f>Table13[[#This Row],[GrossRevenue]]*(1-Table13[[#This Row],[DiscountRate]])</f>
        <v>297500</v>
      </c>
      <c r="S344" s="3">
        <f>Table13[[#This Row],[Quantity]]*Table13[[#This Row],[UnitCost_NGN]]</f>
        <v>240000</v>
      </c>
      <c r="T344" s="3">
        <f>Table13[[#This Row],[NetRevenue]]-Table13[[#This Row],[TotalCost]]</f>
        <v>57500</v>
      </c>
      <c r="U344" s="3"/>
    </row>
    <row r="345" spans="1:21" x14ac:dyDescent="0.25">
      <c r="A345" t="s">
        <v>662</v>
      </c>
      <c r="B345" s="20">
        <v>45713</v>
      </c>
      <c r="C345" t="s">
        <v>18</v>
      </c>
      <c r="D345" t="s">
        <v>120</v>
      </c>
      <c r="E345" t="s">
        <v>121</v>
      </c>
      <c r="F345" t="s">
        <v>122</v>
      </c>
      <c r="G345" t="s">
        <v>62</v>
      </c>
      <c r="H345" t="s">
        <v>63</v>
      </c>
      <c r="I345" t="s">
        <v>93</v>
      </c>
      <c r="J345" t="s">
        <v>46</v>
      </c>
      <c r="K345">
        <v>4</v>
      </c>
      <c r="L345" s="3">
        <v>95000</v>
      </c>
      <c r="M345" s="3">
        <v>82000</v>
      </c>
      <c r="N345">
        <v>0.15</v>
      </c>
      <c r="O345" t="s">
        <v>47</v>
      </c>
      <c r="P345" t="s">
        <v>72</v>
      </c>
      <c r="Q345" s="3">
        <f>Table13[[#This Row],[Quantity]]*Table13[[#This Row],[UnitPrice_NGN]]</f>
        <v>380000</v>
      </c>
      <c r="R345" s="9">
        <f>Table13[[#This Row],[GrossRevenue]]*(1-Table13[[#This Row],[DiscountRate]])</f>
        <v>323000</v>
      </c>
      <c r="S345" s="3">
        <f>Table13[[#This Row],[Quantity]]*Table13[[#This Row],[UnitCost_NGN]]</f>
        <v>328000</v>
      </c>
      <c r="T345" s="3">
        <f>Table13[[#This Row],[NetRevenue]]-Table13[[#This Row],[TotalCost]]</f>
        <v>-5000</v>
      </c>
      <c r="U345" s="3"/>
    </row>
    <row r="346" spans="1:21" x14ac:dyDescent="0.25">
      <c r="A346" t="s">
        <v>663</v>
      </c>
      <c r="B346" s="20">
        <v>45734</v>
      </c>
      <c r="C346" t="s">
        <v>18</v>
      </c>
      <c r="D346" t="s">
        <v>41</v>
      </c>
      <c r="E346" t="s">
        <v>42</v>
      </c>
      <c r="F346" t="s">
        <v>43</v>
      </c>
      <c r="G346" t="s">
        <v>22</v>
      </c>
      <c r="H346" t="s">
        <v>23</v>
      </c>
      <c r="I346" t="s">
        <v>70</v>
      </c>
      <c r="J346" t="s">
        <v>71</v>
      </c>
      <c r="K346">
        <v>5</v>
      </c>
      <c r="L346" s="3">
        <v>99750</v>
      </c>
      <c r="M346" s="3">
        <v>62000</v>
      </c>
      <c r="N346">
        <v>0</v>
      </c>
      <c r="O346" t="s">
        <v>26</v>
      </c>
      <c r="P346" t="s">
        <v>133</v>
      </c>
      <c r="Q346" s="3">
        <f>Table13[[#This Row],[Quantity]]*Table13[[#This Row],[UnitPrice_NGN]]</f>
        <v>498750</v>
      </c>
      <c r="R346" s="9">
        <f>Table13[[#This Row],[GrossRevenue]]*(1-Table13[[#This Row],[DiscountRate]])</f>
        <v>498750</v>
      </c>
      <c r="S346" s="3">
        <f>Table13[[#This Row],[Quantity]]*Table13[[#This Row],[UnitCost_NGN]]</f>
        <v>310000</v>
      </c>
      <c r="T346" s="3">
        <f>Table13[[#This Row],[NetRevenue]]-Table13[[#This Row],[TotalCost]]</f>
        <v>188750</v>
      </c>
      <c r="U346" s="3"/>
    </row>
    <row r="347" spans="1:21" x14ac:dyDescent="0.25">
      <c r="A347" t="s">
        <v>665</v>
      </c>
      <c r="B347" s="20">
        <v>45912</v>
      </c>
      <c r="C347" t="s">
        <v>40</v>
      </c>
      <c r="D347" t="s">
        <v>88</v>
      </c>
      <c r="E347" t="s">
        <v>89</v>
      </c>
      <c r="F347" t="s">
        <v>43</v>
      </c>
      <c r="G347" t="s">
        <v>33</v>
      </c>
      <c r="H347" t="s">
        <v>112</v>
      </c>
      <c r="I347" t="s">
        <v>24</v>
      </c>
      <c r="J347" t="s">
        <v>25</v>
      </c>
      <c r="K347">
        <v>5</v>
      </c>
      <c r="L347" s="3">
        <v>23100</v>
      </c>
      <c r="M347" s="3">
        <v>12350</v>
      </c>
      <c r="N347">
        <v>0.15</v>
      </c>
      <c r="O347" t="s">
        <v>26</v>
      </c>
      <c r="P347" t="s">
        <v>48</v>
      </c>
      <c r="Q347" s="3">
        <f>Table13[[#This Row],[Quantity]]*Table13[[#This Row],[UnitPrice_NGN]]</f>
        <v>115500</v>
      </c>
      <c r="R347" s="9">
        <f>Table13[[#This Row],[GrossRevenue]]*(1-Table13[[#This Row],[DiscountRate]])</f>
        <v>98175</v>
      </c>
      <c r="S347" s="3">
        <f>Table13[[#This Row],[Quantity]]*Table13[[#This Row],[UnitCost_NGN]]</f>
        <v>61750</v>
      </c>
      <c r="T347" s="3">
        <f>Table13[[#This Row],[NetRevenue]]-Table13[[#This Row],[TotalCost]]</f>
        <v>36425</v>
      </c>
      <c r="U347" s="3"/>
    </row>
    <row r="348" spans="1:21" x14ac:dyDescent="0.25">
      <c r="A348" t="s">
        <v>666</v>
      </c>
      <c r="B348" s="20">
        <v>45771</v>
      </c>
      <c r="C348" t="s">
        <v>30</v>
      </c>
      <c r="D348" t="s">
        <v>31</v>
      </c>
      <c r="E348" t="s">
        <v>32</v>
      </c>
      <c r="F348" t="s">
        <v>21</v>
      </c>
      <c r="G348" t="s">
        <v>33</v>
      </c>
      <c r="H348" t="s">
        <v>63</v>
      </c>
      <c r="I348" t="s">
        <v>102</v>
      </c>
      <c r="J348" t="s">
        <v>25</v>
      </c>
      <c r="K348">
        <v>4</v>
      </c>
      <c r="L348" s="3">
        <v>42000</v>
      </c>
      <c r="M348" s="3">
        <v>26000</v>
      </c>
      <c r="N348">
        <v>0</v>
      </c>
      <c r="O348" t="s">
        <v>57</v>
      </c>
      <c r="P348" t="s">
        <v>27</v>
      </c>
      <c r="Q348" s="3">
        <f>Table13[[#This Row],[Quantity]]*Table13[[#This Row],[UnitPrice_NGN]]</f>
        <v>168000</v>
      </c>
      <c r="R348" s="9">
        <f>Table13[[#This Row],[GrossRevenue]]*(1-Table13[[#This Row],[DiscountRate]])</f>
        <v>168000</v>
      </c>
      <c r="S348" s="3">
        <f>Table13[[#This Row],[Quantity]]*Table13[[#This Row],[UnitCost_NGN]]</f>
        <v>104000</v>
      </c>
      <c r="T348" s="3">
        <f>Table13[[#This Row],[NetRevenue]]-Table13[[#This Row],[TotalCost]]</f>
        <v>64000</v>
      </c>
      <c r="U348" s="3"/>
    </row>
    <row r="349" spans="1:21" x14ac:dyDescent="0.25">
      <c r="A349" t="s">
        <v>667</v>
      </c>
      <c r="B349" s="20">
        <v>45899</v>
      </c>
      <c r="C349" t="s">
        <v>30</v>
      </c>
      <c r="D349" t="s">
        <v>120</v>
      </c>
      <c r="E349" t="s">
        <v>121</v>
      </c>
      <c r="F349" t="s">
        <v>122</v>
      </c>
      <c r="G349" t="s">
        <v>62</v>
      </c>
      <c r="H349" t="s">
        <v>23</v>
      </c>
      <c r="I349" t="s">
        <v>75</v>
      </c>
      <c r="J349" t="s">
        <v>36</v>
      </c>
      <c r="K349">
        <v>8</v>
      </c>
      <c r="L349" s="3">
        <v>171000</v>
      </c>
      <c r="M349" s="3">
        <v>130000</v>
      </c>
      <c r="N349">
        <v>0</v>
      </c>
      <c r="O349" t="s">
        <v>90</v>
      </c>
      <c r="P349" t="s">
        <v>48</v>
      </c>
      <c r="Q349" s="3">
        <f>Table13[[#This Row],[Quantity]]*Table13[[#This Row],[UnitPrice_NGN]]</f>
        <v>1368000</v>
      </c>
      <c r="R349" s="9">
        <f>Table13[[#This Row],[GrossRevenue]]*(1-Table13[[#This Row],[DiscountRate]])</f>
        <v>1368000</v>
      </c>
      <c r="S349" s="3">
        <f>Table13[[#This Row],[Quantity]]*Table13[[#This Row],[UnitCost_NGN]]</f>
        <v>1040000</v>
      </c>
      <c r="T349" s="3">
        <f>Table13[[#This Row],[NetRevenue]]-Table13[[#This Row],[TotalCost]]</f>
        <v>328000</v>
      </c>
      <c r="U349" s="3"/>
    </row>
    <row r="350" spans="1:21" x14ac:dyDescent="0.25">
      <c r="A350" t="s">
        <v>668</v>
      </c>
      <c r="B350" s="20">
        <v>45815</v>
      </c>
      <c r="C350" t="s">
        <v>40</v>
      </c>
      <c r="D350" t="s">
        <v>88</v>
      </c>
      <c r="E350" t="s">
        <v>89</v>
      </c>
      <c r="F350" t="s">
        <v>43</v>
      </c>
      <c r="G350" t="s">
        <v>62</v>
      </c>
      <c r="H350" t="s">
        <v>63</v>
      </c>
      <c r="I350" t="s">
        <v>24</v>
      </c>
      <c r="J350" t="s">
        <v>25</v>
      </c>
      <c r="K350">
        <v>5</v>
      </c>
      <c r="L350" s="3">
        <v>20900</v>
      </c>
      <c r="M350" s="3">
        <v>13000</v>
      </c>
      <c r="N350">
        <v>0</v>
      </c>
      <c r="O350" t="s">
        <v>57</v>
      </c>
      <c r="P350" t="s">
        <v>72</v>
      </c>
      <c r="Q350" s="3">
        <f>Table13[[#This Row],[Quantity]]*Table13[[#This Row],[UnitPrice_NGN]]</f>
        <v>104500</v>
      </c>
      <c r="R350" s="9">
        <f>Table13[[#This Row],[GrossRevenue]]*(1-Table13[[#This Row],[DiscountRate]])</f>
        <v>104500</v>
      </c>
      <c r="S350" s="3">
        <f>Table13[[#This Row],[Quantity]]*Table13[[#This Row],[UnitCost_NGN]]</f>
        <v>65000</v>
      </c>
      <c r="T350" s="3">
        <f>Table13[[#This Row],[NetRevenue]]-Table13[[#This Row],[TotalCost]]</f>
        <v>39500</v>
      </c>
      <c r="U350" s="3"/>
    </row>
    <row r="351" spans="1:21" x14ac:dyDescent="0.25">
      <c r="A351" t="s">
        <v>669</v>
      </c>
      <c r="B351" s="20">
        <v>45757</v>
      </c>
      <c r="C351" t="s">
        <v>18</v>
      </c>
      <c r="D351" t="s">
        <v>19</v>
      </c>
      <c r="E351" t="s">
        <v>20</v>
      </c>
      <c r="F351" t="s">
        <v>21</v>
      </c>
      <c r="G351" t="s">
        <v>33</v>
      </c>
      <c r="H351" t="s">
        <v>23</v>
      </c>
      <c r="I351" t="s">
        <v>97</v>
      </c>
      <c r="J351" t="s">
        <v>56</v>
      </c>
      <c r="K351">
        <v>3</v>
      </c>
      <c r="L351" s="3">
        <v>137500</v>
      </c>
      <c r="M351" s="3">
        <v>80750</v>
      </c>
      <c r="N351">
        <v>0.05</v>
      </c>
      <c r="O351" t="s">
        <v>57</v>
      </c>
      <c r="P351" t="s">
        <v>133</v>
      </c>
      <c r="Q351" s="3">
        <f>Table13[[#This Row],[Quantity]]*Table13[[#This Row],[UnitPrice_NGN]]</f>
        <v>412500</v>
      </c>
      <c r="R351" s="9">
        <f>Table13[[#This Row],[GrossRevenue]]*(1-Table13[[#This Row],[DiscountRate]])</f>
        <v>391875</v>
      </c>
      <c r="S351" s="3">
        <f>Table13[[#This Row],[Quantity]]*Table13[[#This Row],[UnitCost_NGN]]</f>
        <v>242250</v>
      </c>
      <c r="T351" s="3">
        <f>Table13[[#This Row],[NetRevenue]]-Table13[[#This Row],[TotalCost]]</f>
        <v>149625</v>
      </c>
      <c r="U351" s="3"/>
    </row>
    <row r="352" spans="1:21" x14ac:dyDescent="0.25">
      <c r="A352" t="s">
        <v>671</v>
      </c>
      <c r="B352" s="20">
        <v>45833</v>
      </c>
      <c r="C352" t="s">
        <v>30</v>
      </c>
      <c r="D352" t="s">
        <v>31</v>
      </c>
      <c r="E352" t="s">
        <v>32</v>
      </c>
      <c r="F352" t="s">
        <v>21</v>
      </c>
      <c r="G352" t="s">
        <v>33</v>
      </c>
      <c r="H352" t="s">
        <v>34</v>
      </c>
      <c r="I352" t="s">
        <v>55</v>
      </c>
      <c r="J352" t="s">
        <v>56</v>
      </c>
      <c r="K352">
        <v>8</v>
      </c>
      <c r="L352" s="3">
        <v>45600</v>
      </c>
      <c r="M352" s="3">
        <v>30000</v>
      </c>
      <c r="N352">
        <v>0</v>
      </c>
      <c r="O352" t="s">
        <v>47</v>
      </c>
      <c r="P352" t="s">
        <v>72</v>
      </c>
      <c r="Q352" s="3">
        <f>Table13[[#This Row],[Quantity]]*Table13[[#This Row],[UnitPrice_NGN]]</f>
        <v>364800</v>
      </c>
      <c r="R352" s="9">
        <f>Table13[[#This Row],[GrossRevenue]]*(1-Table13[[#This Row],[DiscountRate]])</f>
        <v>364800</v>
      </c>
      <c r="S352" s="3">
        <f>Table13[[#This Row],[Quantity]]*Table13[[#This Row],[UnitCost_NGN]]</f>
        <v>240000</v>
      </c>
      <c r="T352" s="3">
        <f>Table13[[#This Row],[NetRevenue]]-Table13[[#This Row],[TotalCost]]</f>
        <v>124800</v>
      </c>
      <c r="U352" s="3"/>
    </row>
    <row r="353" spans="1:21" x14ac:dyDescent="0.25">
      <c r="A353" t="s">
        <v>673</v>
      </c>
      <c r="B353" s="20">
        <v>45748</v>
      </c>
      <c r="C353" t="s">
        <v>30</v>
      </c>
      <c r="D353" t="s">
        <v>157</v>
      </c>
      <c r="E353" t="s">
        <v>158</v>
      </c>
      <c r="F353" t="s">
        <v>21</v>
      </c>
      <c r="G353" t="s">
        <v>22</v>
      </c>
      <c r="H353" t="s">
        <v>96</v>
      </c>
      <c r="I353" t="s">
        <v>102</v>
      </c>
      <c r="J353" t="s">
        <v>25</v>
      </c>
      <c r="K353">
        <v>6</v>
      </c>
      <c r="L353" s="3">
        <v>42000</v>
      </c>
      <c r="M353" s="3">
        <v>26000</v>
      </c>
      <c r="N353">
        <v>0.15</v>
      </c>
      <c r="O353" t="s">
        <v>37</v>
      </c>
      <c r="P353" t="s">
        <v>48</v>
      </c>
      <c r="Q353" s="3">
        <f>Table13[[#This Row],[Quantity]]*Table13[[#This Row],[UnitPrice_NGN]]</f>
        <v>252000</v>
      </c>
      <c r="R353" s="9">
        <f>Table13[[#This Row],[GrossRevenue]]*(1-Table13[[#This Row],[DiscountRate]])</f>
        <v>214200</v>
      </c>
      <c r="S353" s="3">
        <f>Table13[[#This Row],[Quantity]]*Table13[[#This Row],[UnitCost_NGN]]</f>
        <v>156000</v>
      </c>
      <c r="T353" s="3">
        <f>Table13[[#This Row],[NetRevenue]]-Table13[[#This Row],[TotalCost]]</f>
        <v>58200</v>
      </c>
      <c r="U353" s="3"/>
    </row>
    <row r="354" spans="1:21" x14ac:dyDescent="0.25">
      <c r="A354" t="s">
        <v>675</v>
      </c>
      <c r="B354" s="20">
        <v>45703</v>
      </c>
      <c r="C354" t="s">
        <v>30</v>
      </c>
      <c r="D354" t="s">
        <v>60</v>
      </c>
      <c r="E354" t="s">
        <v>61</v>
      </c>
      <c r="F354" t="s">
        <v>43</v>
      </c>
      <c r="G354" t="s">
        <v>33</v>
      </c>
      <c r="H354" t="s">
        <v>112</v>
      </c>
      <c r="I354" t="s">
        <v>70</v>
      </c>
      <c r="J354" t="s">
        <v>71</v>
      </c>
      <c r="K354">
        <v>6</v>
      </c>
      <c r="L354" s="3">
        <v>90250</v>
      </c>
      <c r="M354" s="3">
        <v>62000</v>
      </c>
      <c r="N354">
        <v>0.05</v>
      </c>
      <c r="O354" t="s">
        <v>26</v>
      </c>
      <c r="P354" t="s">
        <v>48</v>
      </c>
      <c r="Q354" s="3">
        <f>Table13[[#This Row],[Quantity]]*Table13[[#This Row],[UnitPrice_NGN]]</f>
        <v>541500</v>
      </c>
      <c r="R354" s="9">
        <f>Table13[[#This Row],[GrossRevenue]]*(1-Table13[[#This Row],[DiscountRate]])</f>
        <v>514425</v>
      </c>
      <c r="S354" s="3">
        <f>Table13[[#This Row],[Quantity]]*Table13[[#This Row],[UnitCost_NGN]]</f>
        <v>372000</v>
      </c>
      <c r="T354" s="3">
        <f>Table13[[#This Row],[NetRevenue]]-Table13[[#This Row],[TotalCost]]</f>
        <v>142425</v>
      </c>
      <c r="U354" s="3"/>
    </row>
    <row r="355" spans="1:21" x14ac:dyDescent="0.25">
      <c r="A355" t="s">
        <v>676</v>
      </c>
      <c r="B355" s="20">
        <v>45849</v>
      </c>
      <c r="C355" t="s">
        <v>40</v>
      </c>
      <c r="D355" t="s">
        <v>110</v>
      </c>
      <c r="E355" t="s">
        <v>111</v>
      </c>
      <c r="F355" t="s">
        <v>85</v>
      </c>
      <c r="G355" t="s">
        <v>44</v>
      </c>
      <c r="H355" t="s">
        <v>96</v>
      </c>
      <c r="I355" t="s">
        <v>55</v>
      </c>
      <c r="J355" t="s">
        <v>56</v>
      </c>
      <c r="K355">
        <v>3</v>
      </c>
      <c r="L355" s="3">
        <v>43200</v>
      </c>
      <c r="M355" s="3">
        <v>30000</v>
      </c>
      <c r="N355">
        <v>0.15</v>
      </c>
      <c r="O355" t="s">
        <v>148</v>
      </c>
      <c r="P355" t="s">
        <v>48</v>
      </c>
      <c r="Q355" s="3">
        <f>Table13[[#This Row],[Quantity]]*Table13[[#This Row],[UnitPrice_NGN]]</f>
        <v>129600</v>
      </c>
      <c r="R355" s="9">
        <f>Table13[[#This Row],[GrossRevenue]]*(1-Table13[[#This Row],[DiscountRate]])</f>
        <v>110160</v>
      </c>
      <c r="S355" s="3">
        <f>Table13[[#This Row],[Quantity]]*Table13[[#This Row],[UnitCost_NGN]]</f>
        <v>90000</v>
      </c>
      <c r="T355" s="3">
        <f>Table13[[#This Row],[NetRevenue]]-Table13[[#This Row],[TotalCost]]</f>
        <v>20160</v>
      </c>
      <c r="U355" s="3"/>
    </row>
    <row r="356" spans="1:21" x14ac:dyDescent="0.25">
      <c r="A356" t="s">
        <v>677</v>
      </c>
      <c r="B356" s="20">
        <v>45724</v>
      </c>
      <c r="C356" t="s">
        <v>40</v>
      </c>
      <c r="D356" t="s">
        <v>136</v>
      </c>
      <c r="E356" t="s">
        <v>137</v>
      </c>
      <c r="F356" t="s">
        <v>122</v>
      </c>
      <c r="G356" t="s">
        <v>62</v>
      </c>
      <c r="H356" t="s">
        <v>34</v>
      </c>
      <c r="I356" t="s">
        <v>24</v>
      </c>
      <c r="J356" t="s">
        <v>25</v>
      </c>
      <c r="K356">
        <v>2</v>
      </c>
      <c r="L356" s="3">
        <v>23100</v>
      </c>
      <c r="M356" s="3">
        <v>13000</v>
      </c>
      <c r="N356">
        <v>0</v>
      </c>
      <c r="O356" t="s">
        <v>52</v>
      </c>
      <c r="P356" t="s">
        <v>48</v>
      </c>
      <c r="Q356" s="3">
        <f>Table13[[#This Row],[Quantity]]*Table13[[#This Row],[UnitPrice_NGN]]</f>
        <v>46200</v>
      </c>
      <c r="R356" s="9">
        <f>Table13[[#This Row],[GrossRevenue]]*(1-Table13[[#This Row],[DiscountRate]])</f>
        <v>46200</v>
      </c>
      <c r="S356" s="3">
        <f>Table13[[#This Row],[Quantity]]*Table13[[#This Row],[UnitCost_NGN]]</f>
        <v>26000</v>
      </c>
      <c r="T356" s="3">
        <f>Table13[[#This Row],[NetRevenue]]-Table13[[#This Row],[TotalCost]]</f>
        <v>20200</v>
      </c>
      <c r="U356" s="3"/>
    </row>
    <row r="357" spans="1:21" x14ac:dyDescent="0.25">
      <c r="A357" t="s">
        <v>679</v>
      </c>
      <c r="B357" s="20">
        <v>46009</v>
      </c>
      <c r="C357" t="s">
        <v>40</v>
      </c>
      <c r="D357" t="s">
        <v>41</v>
      </c>
      <c r="E357" t="s">
        <v>42</v>
      </c>
      <c r="F357" t="s">
        <v>43</v>
      </c>
      <c r="G357" t="s">
        <v>33</v>
      </c>
      <c r="H357" t="s">
        <v>63</v>
      </c>
      <c r="I357" t="s">
        <v>35</v>
      </c>
      <c r="J357" t="s">
        <v>36</v>
      </c>
      <c r="K357">
        <v>12</v>
      </c>
      <c r="L357" s="3">
        <v>450000</v>
      </c>
      <c r="M357" s="3">
        <v>350000</v>
      </c>
      <c r="N357">
        <v>0.05</v>
      </c>
      <c r="O357" t="s">
        <v>64</v>
      </c>
      <c r="P357" t="s">
        <v>48</v>
      </c>
      <c r="Q357" s="3">
        <f>Table13[[#This Row],[Quantity]]*Table13[[#This Row],[UnitPrice_NGN]]</f>
        <v>5400000</v>
      </c>
      <c r="R357" s="9">
        <f>Table13[[#This Row],[GrossRevenue]]*(1-Table13[[#This Row],[DiscountRate]])</f>
        <v>5130000</v>
      </c>
      <c r="S357" s="3">
        <f>Table13[[#This Row],[Quantity]]*Table13[[#This Row],[UnitCost_NGN]]</f>
        <v>4200000</v>
      </c>
      <c r="T357" s="3">
        <f>Table13[[#This Row],[NetRevenue]]-Table13[[#This Row],[TotalCost]]</f>
        <v>930000</v>
      </c>
      <c r="U357" s="3"/>
    </row>
    <row r="358" spans="1:21" x14ac:dyDescent="0.25">
      <c r="A358" t="s">
        <v>681</v>
      </c>
      <c r="B358" s="20">
        <v>45669</v>
      </c>
      <c r="C358" t="s">
        <v>30</v>
      </c>
      <c r="D358" t="s">
        <v>83</v>
      </c>
      <c r="E358" t="s">
        <v>84</v>
      </c>
      <c r="F358" t="s">
        <v>85</v>
      </c>
      <c r="G358" t="s">
        <v>44</v>
      </c>
      <c r="H358" t="s">
        <v>96</v>
      </c>
      <c r="I358" t="s">
        <v>75</v>
      </c>
      <c r="J358" t="s">
        <v>36</v>
      </c>
      <c r="K358">
        <v>1</v>
      </c>
      <c r="L358" s="3">
        <v>171000</v>
      </c>
      <c r="M358" s="3">
        <v>130000</v>
      </c>
      <c r="N358">
        <v>0</v>
      </c>
      <c r="O358" t="s">
        <v>47</v>
      </c>
      <c r="P358" t="s">
        <v>133</v>
      </c>
      <c r="Q358" s="3">
        <f>Table13[[#This Row],[Quantity]]*Table13[[#This Row],[UnitPrice_NGN]]</f>
        <v>171000</v>
      </c>
      <c r="R358" s="9">
        <f>Table13[[#This Row],[GrossRevenue]]*(1-Table13[[#This Row],[DiscountRate]])</f>
        <v>171000</v>
      </c>
      <c r="S358" s="3">
        <f>Table13[[#This Row],[Quantity]]*Table13[[#This Row],[UnitCost_NGN]]</f>
        <v>130000</v>
      </c>
      <c r="T358" s="3">
        <f>Table13[[#This Row],[NetRevenue]]-Table13[[#This Row],[TotalCost]]</f>
        <v>41000</v>
      </c>
      <c r="U358" s="3"/>
    </row>
    <row r="359" spans="1:21" x14ac:dyDescent="0.25">
      <c r="A359" t="s">
        <v>682</v>
      </c>
      <c r="B359" s="20">
        <v>45977</v>
      </c>
      <c r="C359" t="s">
        <v>30</v>
      </c>
      <c r="D359" t="s">
        <v>120</v>
      </c>
      <c r="E359" t="s">
        <v>121</v>
      </c>
      <c r="F359" t="s">
        <v>122</v>
      </c>
      <c r="G359" t="s">
        <v>22</v>
      </c>
      <c r="H359" t="s">
        <v>96</v>
      </c>
      <c r="I359" t="s">
        <v>102</v>
      </c>
      <c r="J359" t="s">
        <v>25</v>
      </c>
      <c r="K359">
        <v>6</v>
      </c>
      <c r="L359" s="3">
        <v>42000</v>
      </c>
      <c r="M359" s="3">
        <v>26000</v>
      </c>
      <c r="N359">
        <v>0.1</v>
      </c>
      <c r="O359" t="s">
        <v>148</v>
      </c>
      <c r="P359" t="s">
        <v>48</v>
      </c>
      <c r="Q359" s="3">
        <f>Table13[[#This Row],[Quantity]]*Table13[[#This Row],[UnitPrice_NGN]]</f>
        <v>252000</v>
      </c>
      <c r="R359" s="9">
        <f>Table13[[#This Row],[GrossRevenue]]*(1-Table13[[#This Row],[DiscountRate]])</f>
        <v>226800</v>
      </c>
      <c r="S359" s="3">
        <f>Table13[[#This Row],[Quantity]]*Table13[[#This Row],[UnitCost_NGN]]</f>
        <v>156000</v>
      </c>
      <c r="T359" s="3">
        <f>Table13[[#This Row],[NetRevenue]]-Table13[[#This Row],[TotalCost]]</f>
        <v>70800</v>
      </c>
      <c r="U359" s="3"/>
    </row>
    <row r="360" spans="1:21" x14ac:dyDescent="0.25">
      <c r="A360" t="s">
        <v>683</v>
      </c>
      <c r="B360" s="20">
        <v>45938</v>
      </c>
      <c r="C360" t="s">
        <v>40</v>
      </c>
      <c r="D360" t="s">
        <v>136</v>
      </c>
      <c r="E360" t="s">
        <v>137</v>
      </c>
      <c r="F360" t="s">
        <v>122</v>
      </c>
      <c r="G360" t="s">
        <v>44</v>
      </c>
      <c r="H360" t="s">
        <v>34</v>
      </c>
      <c r="I360" t="s">
        <v>35</v>
      </c>
      <c r="J360" t="s">
        <v>36</v>
      </c>
      <c r="K360">
        <v>1</v>
      </c>
      <c r="L360" s="3">
        <v>450000</v>
      </c>
      <c r="M360" s="3">
        <v>367500</v>
      </c>
      <c r="N360">
        <v>0</v>
      </c>
      <c r="O360" t="s">
        <v>148</v>
      </c>
      <c r="P360" t="s">
        <v>48</v>
      </c>
      <c r="Q360" s="3">
        <f>Table13[[#This Row],[Quantity]]*Table13[[#This Row],[UnitPrice_NGN]]</f>
        <v>450000</v>
      </c>
      <c r="R360" s="9">
        <f>Table13[[#This Row],[GrossRevenue]]*(1-Table13[[#This Row],[DiscountRate]])</f>
        <v>450000</v>
      </c>
      <c r="S360" s="3">
        <f>Table13[[#This Row],[Quantity]]*Table13[[#This Row],[UnitCost_NGN]]</f>
        <v>367500</v>
      </c>
      <c r="T360" s="3">
        <f>Table13[[#This Row],[NetRevenue]]-Table13[[#This Row],[TotalCost]]</f>
        <v>82500</v>
      </c>
      <c r="U360" s="3"/>
    </row>
    <row r="361" spans="1:21" x14ac:dyDescent="0.25">
      <c r="A361" t="s">
        <v>685</v>
      </c>
      <c r="B361" s="20">
        <v>45968</v>
      </c>
      <c r="C361" t="s">
        <v>18</v>
      </c>
      <c r="D361" t="s">
        <v>83</v>
      </c>
      <c r="E361" t="s">
        <v>84</v>
      </c>
      <c r="F361" t="s">
        <v>85</v>
      </c>
      <c r="G361" t="s">
        <v>33</v>
      </c>
      <c r="H361" t="s">
        <v>96</v>
      </c>
      <c r="I361" t="s">
        <v>70</v>
      </c>
      <c r="J361" t="s">
        <v>71</v>
      </c>
      <c r="K361">
        <v>5</v>
      </c>
      <c r="L361" s="3">
        <v>99750</v>
      </c>
      <c r="M361" s="3">
        <v>62000</v>
      </c>
      <c r="N361">
        <v>0.1</v>
      </c>
      <c r="O361" t="s">
        <v>52</v>
      </c>
      <c r="P361" t="s">
        <v>27</v>
      </c>
      <c r="Q361" s="3">
        <f>Table13[[#This Row],[Quantity]]*Table13[[#This Row],[UnitPrice_NGN]]</f>
        <v>498750</v>
      </c>
      <c r="R361" s="9">
        <f>Table13[[#This Row],[GrossRevenue]]*(1-Table13[[#This Row],[DiscountRate]])</f>
        <v>448875</v>
      </c>
      <c r="S361" s="3">
        <f>Table13[[#This Row],[Quantity]]*Table13[[#This Row],[UnitCost_NGN]]</f>
        <v>310000</v>
      </c>
      <c r="T361" s="3">
        <f>Table13[[#This Row],[NetRevenue]]-Table13[[#This Row],[TotalCost]]</f>
        <v>138875</v>
      </c>
      <c r="U361" s="3"/>
    </row>
    <row r="362" spans="1:21" x14ac:dyDescent="0.25">
      <c r="A362" t="s">
        <v>687</v>
      </c>
      <c r="B362" s="20">
        <v>45760</v>
      </c>
      <c r="C362" t="s">
        <v>30</v>
      </c>
      <c r="D362" t="s">
        <v>19</v>
      </c>
      <c r="E362" t="s">
        <v>20</v>
      </c>
      <c r="F362" t="s">
        <v>21</v>
      </c>
      <c r="G362" t="s">
        <v>44</v>
      </c>
      <c r="H362" t="s">
        <v>63</v>
      </c>
      <c r="I362" t="s">
        <v>70</v>
      </c>
      <c r="J362" t="s">
        <v>71</v>
      </c>
      <c r="K362">
        <v>6</v>
      </c>
      <c r="L362" s="3">
        <v>95000</v>
      </c>
      <c r="M362" s="3">
        <v>62000</v>
      </c>
      <c r="N362">
        <v>0.1</v>
      </c>
      <c r="O362" t="s">
        <v>26</v>
      </c>
      <c r="P362" t="s">
        <v>48</v>
      </c>
      <c r="Q362" s="3">
        <f>Table13[[#This Row],[Quantity]]*Table13[[#This Row],[UnitPrice_NGN]]</f>
        <v>570000</v>
      </c>
      <c r="R362" s="9">
        <f>Table13[[#This Row],[GrossRevenue]]*(1-Table13[[#This Row],[DiscountRate]])</f>
        <v>513000</v>
      </c>
      <c r="S362" s="3">
        <f>Table13[[#This Row],[Quantity]]*Table13[[#This Row],[UnitCost_NGN]]</f>
        <v>372000</v>
      </c>
      <c r="T362" s="3">
        <f>Table13[[#This Row],[NetRevenue]]-Table13[[#This Row],[TotalCost]]</f>
        <v>141000</v>
      </c>
      <c r="U362" s="3"/>
    </row>
    <row r="363" spans="1:21" x14ac:dyDescent="0.25">
      <c r="A363" t="s">
        <v>689</v>
      </c>
      <c r="B363" s="20">
        <v>45904</v>
      </c>
      <c r="C363" t="s">
        <v>18</v>
      </c>
      <c r="D363" t="s">
        <v>157</v>
      </c>
      <c r="E363" t="s">
        <v>158</v>
      </c>
      <c r="F363" t="s">
        <v>21</v>
      </c>
      <c r="G363" t="s">
        <v>22</v>
      </c>
      <c r="H363" t="s">
        <v>96</v>
      </c>
      <c r="I363" t="s">
        <v>70</v>
      </c>
      <c r="J363" t="s">
        <v>71</v>
      </c>
      <c r="K363">
        <v>1</v>
      </c>
      <c r="L363" s="3">
        <v>95000</v>
      </c>
      <c r="M363" s="3">
        <v>62000</v>
      </c>
      <c r="N363">
        <v>0.15</v>
      </c>
      <c r="O363" t="s">
        <v>52</v>
      </c>
      <c r="P363" t="s">
        <v>48</v>
      </c>
      <c r="Q363" s="3">
        <f>Table13[[#This Row],[Quantity]]*Table13[[#This Row],[UnitPrice_NGN]]</f>
        <v>95000</v>
      </c>
      <c r="R363" s="9">
        <f>Table13[[#This Row],[GrossRevenue]]*(1-Table13[[#This Row],[DiscountRate]])</f>
        <v>80750</v>
      </c>
      <c r="S363" s="3">
        <f>Table13[[#This Row],[Quantity]]*Table13[[#This Row],[UnitCost_NGN]]</f>
        <v>62000</v>
      </c>
      <c r="T363" s="3">
        <f>Table13[[#This Row],[NetRevenue]]-Table13[[#This Row],[TotalCost]]</f>
        <v>18750</v>
      </c>
      <c r="U363" s="3"/>
    </row>
    <row r="364" spans="1:21" x14ac:dyDescent="0.25">
      <c r="A364" t="s">
        <v>690</v>
      </c>
      <c r="B364" s="20">
        <v>45696</v>
      </c>
      <c r="C364" t="s">
        <v>30</v>
      </c>
      <c r="D364" t="s">
        <v>131</v>
      </c>
      <c r="E364" t="s">
        <v>132</v>
      </c>
      <c r="F364" t="s">
        <v>80</v>
      </c>
      <c r="G364" t="s">
        <v>22</v>
      </c>
      <c r="H364" t="s">
        <v>63</v>
      </c>
      <c r="I364" t="s">
        <v>51</v>
      </c>
      <c r="J364" t="s">
        <v>36</v>
      </c>
      <c r="K364">
        <v>5</v>
      </c>
      <c r="L364" s="3">
        <v>266000</v>
      </c>
      <c r="M364" s="3">
        <v>199500</v>
      </c>
      <c r="N364">
        <v>0.1</v>
      </c>
      <c r="O364" t="s">
        <v>64</v>
      </c>
      <c r="P364" t="s">
        <v>27</v>
      </c>
      <c r="Q364" s="3">
        <f>Table13[[#This Row],[Quantity]]*Table13[[#This Row],[UnitPrice_NGN]]</f>
        <v>1330000</v>
      </c>
      <c r="R364" s="9">
        <f>Table13[[#This Row],[GrossRevenue]]*(1-Table13[[#This Row],[DiscountRate]])</f>
        <v>1197000</v>
      </c>
      <c r="S364" s="3">
        <f>Table13[[#This Row],[Quantity]]*Table13[[#This Row],[UnitCost_NGN]]</f>
        <v>997500</v>
      </c>
      <c r="T364" s="3">
        <f>Table13[[#This Row],[NetRevenue]]-Table13[[#This Row],[TotalCost]]</f>
        <v>199500</v>
      </c>
      <c r="U364" s="3"/>
    </row>
    <row r="365" spans="1:21" x14ac:dyDescent="0.25">
      <c r="A365" t="s">
        <v>691</v>
      </c>
      <c r="B365" s="20">
        <v>45678</v>
      </c>
      <c r="C365" t="s">
        <v>40</v>
      </c>
      <c r="D365" t="s">
        <v>41</v>
      </c>
      <c r="E365" t="s">
        <v>42</v>
      </c>
      <c r="F365" t="s">
        <v>43</v>
      </c>
      <c r="G365" t="s">
        <v>62</v>
      </c>
      <c r="H365" t="s">
        <v>112</v>
      </c>
      <c r="I365" t="s">
        <v>97</v>
      </c>
      <c r="J365" t="s">
        <v>56</v>
      </c>
      <c r="K365">
        <v>2</v>
      </c>
      <c r="L365" s="3">
        <v>112500</v>
      </c>
      <c r="M365" s="3">
        <v>80750</v>
      </c>
      <c r="N365">
        <v>0</v>
      </c>
      <c r="O365" t="s">
        <v>52</v>
      </c>
      <c r="P365" t="s">
        <v>48</v>
      </c>
      <c r="Q365" s="3">
        <f>Table13[[#This Row],[Quantity]]*Table13[[#This Row],[UnitPrice_NGN]]</f>
        <v>225000</v>
      </c>
      <c r="R365" s="9">
        <f>Table13[[#This Row],[GrossRevenue]]*(1-Table13[[#This Row],[DiscountRate]])</f>
        <v>225000</v>
      </c>
      <c r="S365" s="3">
        <f>Table13[[#This Row],[Quantity]]*Table13[[#This Row],[UnitCost_NGN]]</f>
        <v>161500</v>
      </c>
      <c r="T365" s="3">
        <f>Table13[[#This Row],[NetRevenue]]-Table13[[#This Row],[TotalCost]]</f>
        <v>63500</v>
      </c>
      <c r="U365" s="3"/>
    </row>
    <row r="366" spans="1:21" x14ac:dyDescent="0.25">
      <c r="A366" t="s">
        <v>693</v>
      </c>
      <c r="B366" s="20">
        <v>45841</v>
      </c>
      <c r="C366" t="s">
        <v>30</v>
      </c>
      <c r="D366" t="s">
        <v>31</v>
      </c>
      <c r="E366" t="s">
        <v>32</v>
      </c>
      <c r="F366" t="s">
        <v>21</v>
      </c>
      <c r="G366" t="s">
        <v>62</v>
      </c>
      <c r="H366" t="s">
        <v>96</v>
      </c>
      <c r="I366" t="s">
        <v>51</v>
      </c>
      <c r="J366" t="s">
        <v>36</v>
      </c>
      <c r="K366">
        <v>1</v>
      </c>
      <c r="L366" s="3">
        <v>266000</v>
      </c>
      <c r="M366" s="3">
        <v>210000</v>
      </c>
      <c r="N366">
        <v>0</v>
      </c>
      <c r="O366" t="s">
        <v>47</v>
      </c>
      <c r="P366" t="s">
        <v>72</v>
      </c>
      <c r="Q366" s="3">
        <f>Table13[[#This Row],[Quantity]]*Table13[[#This Row],[UnitPrice_NGN]]</f>
        <v>266000</v>
      </c>
      <c r="R366" s="9">
        <f>Table13[[#This Row],[GrossRevenue]]*(1-Table13[[#This Row],[DiscountRate]])</f>
        <v>266000</v>
      </c>
      <c r="S366" s="3">
        <f>Table13[[#This Row],[Quantity]]*Table13[[#This Row],[UnitCost_NGN]]</f>
        <v>210000</v>
      </c>
      <c r="T366" s="3">
        <f>Table13[[#This Row],[NetRevenue]]-Table13[[#This Row],[TotalCost]]</f>
        <v>56000</v>
      </c>
      <c r="U366" s="3"/>
    </row>
    <row r="367" spans="1:21" x14ac:dyDescent="0.25">
      <c r="A367" t="s">
        <v>695</v>
      </c>
      <c r="B367" s="20">
        <v>45855</v>
      </c>
      <c r="C367" t="s">
        <v>40</v>
      </c>
      <c r="D367" t="s">
        <v>157</v>
      </c>
      <c r="E367" t="s">
        <v>158</v>
      </c>
      <c r="F367" t="s">
        <v>21</v>
      </c>
      <c r="G367" t="s">
        <v>33</v>
      </c>
      <c r="H367" t="s">
        <v>34</v>
      </c>
      <c r="I367" t="s">
        <v>105</v>
      </c>
      <c r="J367" t="s">
        <v>71</v>
      </c>
      <c r="K367">
        <v>1</v>
      </c>
      <c r="L367" s="3">
        <v>175000</v>
      </c>
      <c r="M367" s="3">
        <v>126000</v>
      </c>
      <c r="N367">
        <v>0</v>
      </c>
      <c r="O367" t="s">
        <v>52</v>
      </c>
      <c r="P367" t="s">
        <v>27</v>
      </c>
      <c r="Q367" s="3">
        <f>Table13[[#This Row],[Quantity]]*Table13[[#This Row],[UnitPrice_NGN]]</f>
        <v>175000</v>
      </c>
      <c r="R367" s="9">
        <f>Table13[[#This Row],[GrossRevenue]]*(1-Table13[[#This Row],[DiscountRate]])</f>
        <v>175000</v>
      </c>
      <c r="S367" s="3">
        <f>Table13[[#This Row],[Quantity]]*Table13[[#This Row],[UnitCost_NGN]]</f>
        <v>126000</v>
      </c>
      <c r="T367" s="3">
        <f>Table13[[#This Row],[NetRevenue]]-Table13[[#This Row],[TotalCost]]</f>
        <v>49000</v>
      </c>
      <c r="U367" s="3"/>
    </row>
    <row r="368" spans="1:21" x14ac:dyDescent="0.25">
      <c r="A368" t="s">
        <v>696</v>
      </c>
      <c r="B368" s="20">
        <v>45871</v>
      </c>
      <c r="C368" t="s">
        <v>40</v>
      </c>
      <c r="D368" t="s">
        <v>136</v>
      </c>
      <c r="E368" t="s">
        <v>137</v>
      </c>
      <c r="F368" t="s">
        <v>122</v>
      </c>
      <c r="G368" t="s">
        <v>33</v>
      </c>
      <c r="H368" t="s">
        <v>34</v>
      </c>
      <c r="I368" t="s">
        <v>75</v>
      </c>
      <c r="J368" t="s">
        <v>36</v>
      </c>
      <c r="K368">
        <v>5</v>
      </c>
      <c r="L368" s="3">
        <v>198000</v>
      </c>
      <c r="M368" s="3">
        <v>130000</v>
      </c>
      <c r="N368">
        <v>0</v>
      </c>
      <c r="O368" t="s">
        <v>26</v>
      </c>
      <c r="P368" t="s">
        <v>133</v>
      </c>
      <c r="Q368" s="3">
        <f>Table13[[#This Row],[Quantity]]*Table13[[#This Row],[UnitPrice_NGN]]</f>
        <v>990000</v>
      </c>
      <c r="R368" s="9">
        <f>Table13[[#This Row],[GrossRevenue]]*(1-Table13[[#This Row],[DiscountRate]])</f>
        <v>990000</v>
      </c>
      <c r="S368" s="3">
        <f>Table13[[#This Row],[Quantity]]*Table13[[#This Row],[UnitCost_NGN]]</f>
        <v>650000</v>
      </c>
      <c r="T368" s="3">
        <f>Table13[[#This Row],[NetRevenue]]-Table13[[#This Row],[TotalCost]]</f>
        <v>340000</v>
      </c>
      <c r="U368" s="3"/>
    </row>
    <row r="369" spans="1:21" x14ac:dyDescent="0.25">
      <c r="A369" t="s">
        <v>698</v>
      </c>
      <c r="B369" s="20">
        <v>45907</v>
      </c>
      <c r="C369" t="s">
        <v>40</v>
      </c>
      <c r="D369" t="s">
        <v>131</v>
      </c>
      <c r="E369" t="s">
        <v>132</v>
      </c>
      <c r="F369" t="s">
        <v>80</v>
      </c>
      <c r="G369" t="s">
        <v>33</v>
      </c>
      <c r="H369" t="s">
        <v>96</v>
      </c>
      <c r="I369" t="s">
        <v>105</v>
      </c>
      <c r="J369" t="s">
        <v>71</v>
      </c>
      <c r="K369">
        <v>1</v>
      </c>
      <c r="L369" s="3">
        <v>183750</v>
      </c>
      <c r="M369" s="3">
        <v>120000</v>
      </c>
      <c r="N369">
        <v>0.05</v>
      </c>
      <c r="O369" t="s">
        <v>52</v>
      </c>
      <c r="P369" t="s">
        <v>48</v>
      </c>
      <c r="Q369" s="3">
        <f>Table13[[#This Row],[Quantity]]*Table13[[#This Row],[UnitPrice_NGN]]</f>
        <v>183750</v>
      </c>
      <c r="R369" s="9">
        <f>Table13[[#This Row],[GrossRevenue]]*(1-Table13[[#This Row],[DiscountRate]])</f>
        <v>174562.5</v>
      </c>
      <c r="S369" s="3">
        <f>Table13[[#This Row],[Quantity]]*Table13[[#This Row],[UnitCost_NGN]]</f>
        <v>120000</v>
      </c>
      <c r="T369" s="3">
        <f>Table13[[#This Row],[NetRevenue]]-Table13[[#This Row],[TotalCost]]</f>
        <v>54562.5</v>
      </c>
      <c r="U369" s="3"/>
    </row>
    <row r="370" spans="1:21" x14ac:dyDescent="0.25">
      <c r="A370" t="s">
        <v>699</v>
      </c>
      <c r="B370" s="20">
        <v>45831</v>
      </c>
      <c r="C370" t="s">
        <v>30</v>
      </c>
      <c r="D370" t="s">
        <v>120</v>
      </c>
      <c r="E370" t="s">
        <v>121</v>
      </c>
      <c r="F370" t="s">
        <v>122</v>
      </c>
      <c r="G370" t="s">
        <v>22</v>
      </c>
      <c r="H370" t="s">
        <v>112</v>
      </c>
      <c r="I370" t="s">
        <v>70</v>
      </c>
      <c r="J370" t="s">
        <v>71</v>
      </c>
      <c r="K370">
        <v>2</v>
      </c>
      <c r="L370" s="3">
        <v>99750</v>
      </c>
      <c r="M370" s="3">
        <v>62000</v>
      </c>
      <c r="N370">
        <v>0.15</v>
      </c>
      <c r="O370" t="s">
        <v>64</v>
      </c>
      <c r="P370" t="s">
        <v>133</v>
      </c>
      <c r="Q370" s="3">
        <f>Table13[[#This Row],[Quantity]]*Table13[[#This Row],[UnitPrice_NGN]]</f>
        <v>199500</v>
      </c>
      <c r="R370" s="9">
        <f>Table13[[#This Row],[GrossRevenue]]*(1-Table13[[#This Row],[DiscountRate]])</f>
        <v>169575</v>
      </c>
      <c r="S370" s="3">
        <f>Table13[[#This Row],[Quantity]]*Table13[[#This Row],[UnitCost_NGN]]</f>
        <v>124000</v>
      </c>
      <c r="T370" s="3">
        <f>Table13[[#This Row],[NetRevenue]]-Table13[[#This Row],[TotalCost]]</f>
        <v>45575</v>
      </c>
      <c r="U370" s="3"/>
    </row>
    <row r="371" spans="1:21" x14ac:dyDescent="0.25">
      <c r="A371" t="s">
        <v>700</v>
      </c>
      <c r="B371" s="20">
        <v>45943</v>
      </c>
      <c r="C371" t="s">
        <v>18</v>
      </c>
      <c r="D371" t="s">
        <v>88</v>
      </c>
      <c r="E371" t="s">
        <v>89</v>
      </c>
      <c r="F371" t="s">
        <v>43</v>
      </c>
      <c r="G371" t="s">
        <v>22</v>
      </c>
      <c r="H371" t="s">
        <v>34</v>
      </c>
      <c r="I371" t="s">
        <v>97</v>
      </c>
      <c r="J371" t="s">
        <v>56</v>
      </c>
      <c r="K371">
        <v>5</v>
      </c>
      <c r="L371" s="3">
        <v>131250</v>
      </c>
      <c r="M371" s="3">
        <v>89250</v>
      </c>
      <c r="N371">
        <v>0</v>
      </c>
      <c r="O371" t="s">
        <v>37</v>
      </c>
      <c r="P371" t="s">
        <v>133</v>
      </c>
      <c r="Q371" s="3">
        <f>Table13[[#This Row],[Quantity]]*Table13[[#This Row],[UnitPrice_NGN]]</f>
        <v>656250</v>
      </c>
      <c r="R371" s="9">
        <f>Table13[[#This Row],[GrossRevenue]]*(1-Table13[[#This Row],[DiscountRate]])</f>
        <v>656250</v>
      </c>
      <c r="S371" s="3">
        <f>Table13[[#This Row],[Quantity]]*Table13[[#This Row],[UnitCost_NGN]]</f>
        <v>446250</v>
      </c>
      <c r="T371" s="3">
        <f>Table13[[#This Row],[NetRevenue]]-Table13[[#This Row],[TotalCost]]</f>
        <v>210000</v>
      </c>
      <c r="U371" s="3"/>
    </row>
    <row r="372" spans="1:21" x14ac:dyDescent="0.25">
      <c r="A372" t="s">
        <v>702</v>
      </c>
      <c r="B372" s="20">
        <v>45827</v>
      </c>
      <c r="C372" t="s">
        <v>18</v>
      </c>
      <c r="D372" t="s">
        <v>157</v>
      </c>
      <c r="E372" t="s">
        <v>158</v>
      </c>
      <c r="F372" t="s">
        <v>21</v>
      </c>
      <c r="G372" t="s">
        <v>44</v>
      </c>
      <c r="H372" t="s">
        <v>23</v>
      </c>
      <c r="I372" t="s">
        <v>97</v>
      </c>
      <c r="J372" t="s">
        <v>56</v>
      </c>
      <c r="K372">
        <v>1</v>
      </c>
      <c r="L372" s="3">
        <v>125000</v>
      </c>
      <c r="M372" s="3">
        <v>85000</v>
      </c>
      <c r="N372">
        <v>0</v>
      </c>
      <c r="O372" t="s">
        <v>26</v>
      </c>
      <c r="P372" t="s">
        <v>48</v>
      </c>
      <c r="Q372" s="3">
        <f>Table13[[#This Row],[Quantity]]*Table13[[#This Row],[UnitPrice_NGN]]</f>
        <v>125000</v>
      </c>
      <c r="R372" s="9">
        <f>Table13[[#This Row],[GrossRevenue]]*(1-Table13[[#This Row],[DiscountRate]])</f>
        <v>125000</v>
      </c>
      <c r="S372" s="3">
        <f>Table13[[#This Row],[Quantity]]*Table13[[#This Row],[UnitCost_NGN]]</f>
        <v>85000</v>
      </c>
      <c r="T372" s="3">
        <f>Table13[[#This Row],[NetRevenue]]-Table13[[#This Row],[TotalCost]]</f>
        <v>40000</v>
      </c>
      <c r="U372" s="3"/>
    </row>
    <row r="373" spans="1:21" x14ac:dyDescent="0.25">
      <c r="A373" t="s">
        <v>703</v>
      </c>
      <c r="B373" s="20">
        <v>45913</v>
      </c>
      <c r="C373" t="s">
        <v>40</v>
      </c>
      <c r="D373" t="s">
        <v>60</v>
      </c>
      <c r="E373" t="s">
        <v>61</v>
      </c>
      <c r="F373" t="s">
        <v>43</v>
      </c>
      <c r="G373" t="s">
        <v>22</v>
      </c>
      <c r="H373" t="s">
        <v>112</v>
      </c>
      <c r="I373" t="s">
        <v>55</v>
      </c>
      <c r="J373" t="s">
        <v>56</v>
      </c>
      <c r="K373">
        <v>1</v>
      </c>
      <c r="L373" s="3">
        <v>48000</v>
      </c>
      <c r="M373" s="3">
        <v>31500</v>
      </c>
      <c r="N373">
        <v>0</v>
      </c>
      <c r="O373" t="s">
        <v>148</v>
      </c>
      <c r="P373" t="s">
        <v>72</v>
      </c>
      <c r="Q373" s="3">
        <f>Table13[[#This Row],[Quantity]]*Table13[[#This Row],[UnitPrice_NGN]]</f>
        <v>48000</v>
      </c>
      <c r="R373" s="9">
        <f>Table13[[#This Row],[GrossRevenue]]*(1-Table13[[#This Row],[DiscountRate]])</f>
        <v>48000</v>
      </c>
      <c r="S373" s="3">
        <f>Table13[[#This Row],[Quantity]]*Table13[[#This Row],[UnitCost_NGN]]</f>
        <v>31500</v>
      </c>
      <c r="T373" s="3">
        <f>Table13[[#This Row],[NetRevenue]]-Table13[[#This Row],[TotalCost]]</f>
        <v>16500</v>
      </c>
      <c r="U373" s="3"/>
    </row>
    <row r="374" spans="1:21" x14ac:dyDescent="0.25">
      <c r="A374" t="s">
        <v>705</v>
      </c>
      <c r="B374" s="20">
        <v>45967</v>
      </c>
      <c r="C374" t="s">
        <v>30</v>
      </c>
      <c r="D374" t="s">
        <v>83</v>
      </c>
      <c r="E374" t="s">
        <v>84</v>
      </c>
      <c r="F374" t="s">
        <v>85</v>
      </c>
      <c r="G374" t="s">
        <v>62</v>
      </c>
      <c r="H374" t="s">
        <v>23</v>
      </c>
      <c r="I374" t="s">
        <v>51</v>
      </c>
      <c r="J374" t="s">
        <v>36</v>
      </c>
      <c r="K374">
        <v>3</v>
      </c>
      <c r="L374" s="3">
        <v>280000</v>
      </c>
      <c r="M374" s="3">
        <v>199500</v>
      </c>
      <c r="N374">
        <v>0</v>
      </c>
      <c r="O374" t="s">
        <v>64</v>
      </c>
      <c r="P374" t="s">
        <v>133</v>
      </c>
      <c r="Q374" s="3">
        <f>Table13[[#This Row],[Quantity]]*Table13[[#This Row],[UnitPrice_NGN]]</f>
        <v>840000</v>
      </c>
      <c r="R374" s="9">
        <f>Table13[[#This Row],[GrossRevenue]]*(1-Table13[[#This Row],[DiscountRate]])</f>
        <v>840000</v>
      </c>
      <c r="S374" s="3">
        <f>Table13[[#This Row],[Quantity]]*Table13[[#This Row],[UnitCost_NGN]]</f>
        <v>598500</v>
      </c>
      <c r="T374" s="3">
        <f>Table13[[#This Row],[NetRevenue]]-Table13[[#This Row],[TotalCost]]</f>
        <v>241500</v>
      </c>
      <c r="U374" s="3"/>
    </row>
    <row r="375" spans="1:21" x14ac:dyDescent="0.25">
      <c r="A375" t="s">
        <v>706</v>
      </c>
      <c r="B375" s="20">
        <v>45772</v>
      </c>
      <c r="C375" t="s">
        <v>40</v>
      </c>
      <c r="D375" t="s">
        <v>120</v>
      </c>
      <c r="E375" t="s">
        <v>121</v>
      </c>
      <c r="F375" t="s">
        <v>122</v>
      </c>
      <c r="G375" t="s">
        <v>33</v>
      </c>
      <c r="H375" t="s">
        <v>63</v>
      </c>
      <c r="I375" t="s">
        <v>24</v>
      </c>
      <c r="J375" t="s">
        <v>25</v>
      </c>
      <c r="K375">
        <v>3</v>
      </c>
      <c r="L375" s="3">
        <v>22000</v>
      </c>
      <c r="M375" s="3">
        <v>13000</v>
      </c>
      <c r="N375">
        <v>0</v>
      </c>
      <c r="O375" t="s">
        <v>37</v>
      </c>
      <c r="P375" t="s">
        <v>72</v>
      </c>
      <c r="Q375" s="3">
        <f>Table13[[#This Row],[Quantity]]*Table13[[#This Row],[UnitPrice_NGN]]</f>
        <v>66000</v>
      </c>
      <c r="R375" s="9">
        <f>Table13[[#This Row],[GrossRevenue]]*(1-Table13[[#This Row],[DiscountRate]])</f>
        <v>66000</v>
      </c>
      <c r="S375" s="3">
        <f>Table13[[#This Row],[Quantity]]*Table13[[#This Row],[UnitCost_NGN]]</f>
        <v>39000</v>
      </c>
      <c r="T375" s="3">
        <f>Table13[[#This Row],[NetRevenue]]-Table13[[#This Row],[TotalCost]]</f>
        <v>27000</v>
      </c>
      <c r="U375" s="3"/>
    </row>
    <row r="376" spans="1:21" x14ac:dyDescent="0.25">
      <c r="A376" t="s">
        <v>707</v>
      </c>
      <c r="B376" s="20">
        <v>45839</v>
      </c>
      <c r="C376" t="s">
        <v>40</v>
      </c>
      <c r="D376" t="s">
        <v>19</v>
      </c>
      <c r="E376" t="s">
        <v>20</v>
      </c>
      <c r="F376" t="s">
        <v>21</v>
      </c>
      <c r="G376" t="s">
        <v>62</v>
      </c>
      <c r="H376" t="s">
        <v>96</v>
      </c>
      <c r="I376" t="s">
        <v>51</v>
      </c>
      <c r="J376" t="s">
        <v>36</v>
      </c>
      <c r="K376">
        <v>6</v>
      </c>
      <c r="L376" s="3">
        <v>266000</v>
      </c>
      <c r="M376" s="3">
        <v>199500</v>
      </c>
      <c r="N376">
        <v>0</v>
      </c>
      <c r="O376" t="s">
        <v>148</v>
      </c>
      <c r="P376" t="s">
        <v>27</v>
      </c>
      <c r="Q376" s="3">
        <f>Table13[[#This Row],[Quantity]]*Table13[[#This Row],[UnitPrice_NGN]]</f>
        <v>1596000</v>
      </c>
      <c r="R376" s="9">
        <f>Table13[[#This Row],[GrossRevenue]]*(1-Table13[[#This Row],[DiscountRate]])</f>
        <v>1596000</v>
      </c>
      <c r="S376" s="3">
        <f>Table13[[#This Row],[Quantity]]*Table13[[#This Row],[UnitCost_NGN]]</f>
        <v>1197000</v>
      </c>
      <c r="T376" s="3">
        <f>Table13[[#This Row],[NetRevenue]]-Table13[[#This Row],[TotalCost]]</f>
        <v>399000</v>
      </c>
      <c r="U376" s="3"/>
    </row>
    <row r="377" spans="1:21" x14ac:dyDescent="0.25">
      <c r="A377" t="s">
        <v>708</v>
      </c>
      <c r="B377" s="20">
        <v>45788</v>
      </c>
      <c r="C377" t="s">
        <v>18</v>
      </c>
      <c r="D377" t="s">
        <v>110</v>
      </c>
      <c r="E377" t="s">
        <v>111</v>
      </c>
      <c r="F377" t="s">
        <v>85</v>
      </c>
      <c r="G377" t="s">
        <v>44</v>
      </c>
      <c r="H377" t="s">
        <v>96</v>
      </c>
      <c r="I377" t="s">
        <v>75</v>
      </c>
      <c r="J377" t="s">
        <v>36</v>
      </c>
      <c r="K377">
        <v>1</v>
      </c>
      <c r="L377" s="3">
        <v>189000</v>
      </c>
      <c r="M377" s="3">
        <v>136500</v>
      </c>
      <c r="N377">
        <v>0</v>
      </c>
      <c r="O377" t="s">
        <v>26</v>
      </c>
      <c r="P377" t="s">
        <v>133</v>
      </c>
      <c r="Q377" s="3">
        <f>Table13[[#This Row],[Quantity]]*Table13[[#This Row],[UnitPrice_NGN]]</f>
        <v>189000</v>
      </c>
      <c r="R377" s="9">
        <f>Table13[[#This Row],[GrossRevenue]]*(1-Table13[[#This Row],[DiscountRate]])</f>
        <v>189000</v>
      </c>
      <c r="S377" s="3">
        <f>Table13[[#This Row],[Quantity]]*Table13[[#This Row],[UnitCost_NGN]]</f>
        <v>136500</v>
      </c>
      <c r="T377" s="3">
        <f>Table13[[#This Row],[NetRevenue]]-Table13[[#This Row],[TotalCost]]</f>
        <v>52500</v>
      </c>
      <c r="U377" s="3"/>
    </row>
    <row r="378" spans="1:21" x14ac:dyDescent="0.25">
      <c r="A378" t="s">
        <v>710</v>
      </c>
      <c r="B378" s="20">
        <v>45870</v>
      </c>
      <c r="C378" t="s">
        <v>30</v>
      </c>
      <c r="D378" t="s">
        <v>110</v>
      </c>
      <c r="E378" t="s">
        <v>111</v>
      </c>
      <c r="F378" t="s">
        <v>85</v>
      </c>
      <c r="G378" t="s">
        <v>22</v>
      </c>
      <c r="H378" t="s">
        <v>112</v>
      </c>
      <c r="I378" t="s">
        <v>113</v>
      </c>
      <c r="J378" t="s">
        <v>36</v>
      </c>
      <c r="K378">
        <v>8</v>
      </c>
      <c r="L378" s="3">
        <v>152000</v>
      </c>
      <c r="M378" s="3">
        <v>115000</v>
      </c>
      <c r="N378">
        <v>0</v>
      </c>
      <c r="O378" t="s">
        <v>37</v>
      </c>
      <c r="P378" t="s">
        <v>48</v>
      </c>
      <c r="Q378" s="3">
        <f>Table13[[#This Row],[Quantity]]*Table13[[#This Row],[UnitPrice_NGN]]</f>
        <v>1216000</v>
      </c>
      <c r="R378" s="9">
        <f>Table13[[#This Row],[GrossRevenue]]*(1-Table13[[#This Row],[DiscountRate]])</f>
        <v>1216000</v>
      </c>
      <c r="S378" s="3">
        <f>Table13[[#This Row],[Quantity]]*Table13[[#This Row],[UnitCost_NGN]]</f>
        <v>920000</v>
      </c>
      <c r="T378" s="3">
        <f>Table13[[#This Row],[NetRevenue]]-Table13[[#This Row],[TotalCost]]</f>
        <v>296000</v>
      </c>
      <c r="U378" s="3"/>
    </row>
    <row r="379" spans="1:21" x14ac:dyDescent="0.25">
      <c r="A379" t="s">
        <v>711</v>
      </c>
      <c r="B379" s="20">
        <v>45929</v>
      </c>
      <c r="C379" t="s">
        <v>18</v>
      </c>
      <c r="D379" t="s">
        <v>131</v>
      </c>
      <c r="E379" t="s">
        <v>132</v>
      </c>
      <c r="F379" t="s">
        <v>80</v>
      </c>
      <c r="G379" t="s">
        <v>33</v>
      </c>
      <c r="H379" t="s">
        <v>23</v>
      </c>
      <c r="I379" t="s">
        <v>24</v>
      </c>
      <c r="J379" t="s">
        <v>25</v>
      </c>
      <c r="K379">
        <v>12</v>
      </c>
      <c r="L379" s="3">
        <v>20900</v>
      </c>
      <c r="M379" s="3">
        <v>13650</v>
      </c>
      <c r="N379">
        <v>0</v>
      </c>
      <c r="O379" t="s">
        <v>37</v>
      </c>
      <c r="P379" t="s">
        <v>27</v>
      </c>
      <c r="Q379" s="3">
        <f>Table13[[#This Row],[Quantity]]*Table13[[#This Row],[UnitPrice_NGN]]</f>
        <v>250800</v>
      </c>
      <c r="R379" s="9">
        <f>Table13[[#This Row],[GrossRevenue]]*(1-Table13[[#This Row],[DiscountRate]])</f>
        <v>250800</v>
      </c>
      <c r="S379" s="3">
        <f>Table13[[#This Row],[Quantity]]*Table13[[#This Row],[UnitCost_NGN]]</f>
        <v>163800</v>
      </c>
      <c r="T379" s="3">
        <f>Table13[[#This Row],[NetRevenue]]-Table13[[#This Row],[TotalCost]]</f>
        <v>87000</v>
      </c>
      <c r="U379" s="3"/>
    </row>
    <row r="380" spans="1:21" x14ac:dyDescent="0.25">
      <c r="A380" t="s">
        <v>712</v>
      </c>
      <c r="B380" s="20">
        <v>45856</v>
      </c>
      <c r="C380" t="s">
        <v>30</v>
      </c>
      <c r="D380" t="s">
        <v>157</v>
      </c>
      <c r="E380" t="s">
        <v>158</v>
      </c>
      <c r="F380" t="s">
        <v>21</v>
      </c>
      <c r="G380" t="s">
        <v>62</v>
      </c>
      <c r="H380" t="s">
        <v>23</v>
      </c>
      <c r="I380" t="s">
        <v>93</v>
      </c>
      <c r="J380" t="s">
        <v>46</v>
      </c>
      <c r="K380">
        <v>5</v>
      </c>
      <c r="L380" s="3">
        <v>90250</v>
      </c>
      <c r="M380" s="3">
        <v>82000</v>
      </c>
      <c r="N380">
        <v>0</v>
      </c>
      <c r="O380" t="s">
        <v>26</v>
      </c>
      <c r="P380" t="s">
        <v>27</v>
      </c>
      <c r="Q380" s="3">
        <f>Table13[[#This Row],[Quantity]]*Table13[[#This Row],[UnitPrice_NGN]]</f>
        <v>451250</v>
      </c>
      <c r="R380" s="9">
        <f>Table13[[#This Row],[GrossRevenue]]*(1-Table13[[#This Row],[DiscountRate]])</f>
        <v>451250</v>
      </c>
      <c r="S380" s="3">
        <f>Table13[[#This Row],[Quantity]]*Table13[[#This Row],[UnitCost_NGN]]</f>
        <v>410000</v>
      </c>
      <c r="T380" s="3">
        <f>Table13[[#This Row],[NetRevenue]]-Table13[[#This Row],[TotalCost]]</f>
        <v>41250</v>
      </c>
      <c r="U380" s="3"/>
    </row>
    <row r="381" spans="1:21" x14ac:dyDescent="0.25">
      <c r="A381" t="s">
        <v>714</v>
      </c>
      <c r="B381" s="20">
        <v>45861</v>
      </c>
      <c r="C381" t="s">
        <v>40</v>
      </c>
      <c r="D381" t="s">
        <v>131</v>
      </c>
      <c r="E381" t="s">
        <v>132</v>
      </c>
      <c r="F381" t="s">
        <v>80</v>
      </c>
      <c r="G381" t="s">
        <v>33</v>
      </c>
      <c r="H381" t="s">
        <v>34</v>
      </c>
      <c r="I381" t="s">
        <v>55</v>
      </c>
      <c r="J381" t="s">
        <v>56</v>
      </c>
      <c r="K381">
        <v>10</v>
      </c>
      <c r="L381" s="3">
        <v>52800</v>
      </c>
      <c r="M381" s="3">
        <v>30000</v>
      </c>
      <c r="N381">
        <v>0</v>
      </c>
      <c r="O381" t="s">
        <v>90</v>
      </c>
      <c r="P381" t="s">
        <v>48</v>
      </c>
      <c r="Q381" s="3">
        <f>Table13[[#This Row],[Quantity]]*Table13[[#This Row],[UnitPrice_NGN]]</f>
        <v>528000</v>
      </c>
      <c r="R381" s="9">
        <f>Table13[[#This Row],[GrossRevenue]]*(1-Table13[[#This Row],[DiscountRate]])</f>
        <v>528000</v>
      </c>
      <c r="S381" s="3">
        <f>Table13[[#This Row],[Quantity]]*Table13[[#This Row],[UnitCost_NGN]]</f>
        <v>300000</v>
      </c>
      <c r="T381" s="3">
        <f>Table13[[#This Row],[NetRevenue]]-Table13[[#This Row],[TotalCost]]</f>
        <v>228000</v>
      </c>
      <c r="U381" s="3"/>
    </row>
    <row r="382" spans="1:21" x14ac:dyDescent="0.25">
      <c r="A382" t="s">
        <v>716</v>
      </c>
      <c r="B382" s="20">
        <v>45938</v>
      </c>
      <c r="C382" t="s">
        <v>30</v>
      </c>
      <c r="D382" t="s">
        <v>131</v>
      </c>
      <c r="E382" t="s">
        <v>132</v>
      </c>
      <c r="F382" t="s">
        <v>80</v>
      </c>
      <c r="G382" t="s">
        <v>44</v>
      </c>
      <c r="H382" t="s">
        <v>34</v>
      </c>
      <c r="I382" t="s">
        <v>55</v>
      </c>
      <c r="J382" t="s">
        <v>56</v>
      </c>
      <c r="K382">
        <v>5</v>
      </c>
      <c r="L382" s="3">
        <v>50400</v>
      </c>
      <c r="M382" s="3">
        <v>30000</v>
      </c>
      <c r="N382">
        <v>0.15</v>
      </c>
      <c r="O382" t="s">
        <v>64</v>
      </c>
      <c r="P382" t="s">
        <v>48</v>
      </c>
      <c r="Q382" s="3">
        <f>Table13[[#This Row],[Quantity]]*Table13[[#This Row],[UnitPrice_NGN]]</f>
        <v>252000</v>
      </c>
      <c r="R382" s="9">
        <f>Table13[[#This Row],[GrossRevenue]]*(1-Table13[[#This Row],[DiscountRate]])</f>
        <v>214200</v>
      </c>
      <c r="S382" s="3">
        <f>Table13[[#This Row],[Quantity]]*Table13[[#This Row],[UnitCost_NGN]]</f>
        <v>150000</v>
      </c>
      <c r="T382" s="3">
        <f>Table13[[#This Row],[NetRevenue]]-Table13[[#This Row],[TotalCost]]</f>
        <v>64200</v>
      </c>
      <c r="U382" s="3"/>
    </row>
    <row r="383" spans="1:21" x14ac:dyDescent="0.25">
      <c r="A383" t="s">
        <v>717</v>
      </c>
      <c r="B383" s="20">
        <v>45990</v>
      </c>
      <c r="C383" t="s">
        <v>30</v>
      </c>
      <c r="D383" t="s">
        <v>136</v>
      </c>
      <c r="E383" t="s">
        <v>137</v>
      </c>
      <c r="F383" t="s">
        <v>122</v>
      </c>
      <c r="G383" t="s">
        <v>62</v>
      </c>
      <c r="H383" t="s">
        <v>96</v>
      </c>
      <c r="I383" t="s">
        <v>45</v>
      </c>
      <c r="J383" t="s">
        <v>46</v>
      </c>
      <c r="K383">
        <v>2</v>
      </c>
      <c r="L383" s="3">
        <v>18500</v>
      </c>
      <c r="M383" s="3">
        <v>14500</v>
      </c>
      <c r="N383">
        <v>0.15</v>
      </c>
      <c r="O383" t="s">
        <v>47</v>
      </c>
      <c r="P383" t="s">
        <v>48</v>
      </c>
      <c r="Q383" s="3">
        <f>Table13[[#This Row],[Quantity]]*Table13[[#This Row],[UnitPrice_NGN]]</f>
        <v>37000</v>
      </c>
      <c r="R383" s="9">
        <f>Table13[[#This Row],[GrossRevenue]]*(1-Table13[[#This Row],[DiscountRate]])</f>
        <v>31450</v>
      </c>
      <c r="S383" s="3">
        <f>Table13[[#This Row],[Quantity]]*Table13[[#This Row],[UnitCost_NGN]]</f>
        <v>29000</v>
      </c>
      <c r="T383" s="3">
        <f>Table13[[#This Row],[NetRevenue]]-Table13[[#This Row],[TotalCost]]</f>
        <v>2450</v>
      </c>
      <c r="U383" s="3"/>
    </row>
    <row r="384" spans="1:21" x14ac:dyDescent="0.25">
      <c r="A384" t="s">
        <v>719</v>
      </c>
      <c r="B384" s="20">
        <v>45931</v>
      </c>
      <c r="C384" t="s">
        <v>40</v>
      </c>
      <c r="D384" t="s">
        <v>110</v>
      </c>
      <c r="E384" t="s">
        <v>111</v>
      </c>
      <c r="F384" t="s">
        <v>85</v>
      </c>
      <c r="G384" t="s">
        <v>22</v>
      </c>
      <c r="H384" t="s">
        <v>23</v>
      </c>
      <c r="I384" t="s">
        <v>93</v>
      </c>
      <c r="J384" t="s">
        <v>46</v>
      </c>
      <c r="K384">
        <v>4</v>
      </c>
      <c r="L384" s="3">
        <v>99750</v>
      </c>
      <c r="M384" s="3">
        <v>86100</v>
      </c>
      <c r="N384">
        <v>0.15</v>
      </c>
      <c r="O384" t="s">
        <v>52</v>
      </c>
      <c r="P384" t="s">
        <v>48</v>
      </c>
      <c r="Q384" s="3">
        <f>Table13[[#This Row],[Quantity]]*Table13[[#This Row],[UnitPrice_NGN]]</f>
        <v>399000</v>
      </c>
      <c r="R384" s="9">
        <f>Table13[[#This Row],[GrossRevenue]]*(1-Table13[[#This Row],[DiscountRate]])</f>
        <v>339150</v>
      </c>
      <c r="S384" s="3">
        <f>Table13[[#This Row],[Quantity]]*Table13[[#This Row],[UnitCost_NGN]]</f>
        <v>344400</v>
      </c>
      <c r="T384" s="3">
        <f>Table13[[#This Row],[NetRevenue]]-Table13[[#This Row],[TotalCost]]</f>
        <v>-5250</v>
      </c>
      <c r="U384" s="3"/>
    </row>
    <row r="385" spans="1:21" x14ac:dyDescent="0.25">
      <c r="A385" t="s">
        <v>720</v>
      </c>
      <c r="B385" s="20">
        <v>45794</v>
      </c>
      <c r="C385" t="s">
        <v>40</v>
      </c>
      <c r="D385" t="s">
        <v>83</v>
      </c>
      <c r="E385" t="s">
        <v>84</v>
      </c>
      <c r="F385" t="s">
        <v>85</v>
      </c>
      <c r="G385" t="s">
        <v>62</v>
      </c>
      <c r="H385" t="s">
        <v>34</v>
      </c>
      <c r="I385" t="s">
        <v>35</v>
      </c>
      <c r="J385" t="s">
        <v>36</v>
      </c>
      <c r="K385">
        <v>1</v>
      </c>
      <c r="L385" s="3">
        <v>472500</v>
      </c>
      <c r="M385" s="3">
        <v>332500</v>
      </c>
      <c r="N385">
        <v>0</v>
      </c>
      <c r="O385" t="s">
        <v>148</v>
      </c>
      <c r="P385" t="s">
        <v>48</v>
      </c>
      <c r="Q385" s="3">
        <f>Table13[[#This Row],[Quantity]]*Table13[[#This Row],[UnitPrice_NGN]]</f>
        <v>472500</v>
      </c>
      <c r="R385" s="9">
        <f>Table13[[#This Row],[GrossRevenue]]*(1-Table13[[#This Row],[DiscountRate]])</f>
        <v>472500</v>
      </c>
      <c r="S385" s="3">
        <f>Table13[[#This Row],[Quantity]]*Table13[[#This Row],[UnitCost_NGN]]</f>
        <v>332500</v>
      </c>
      <c r="T385" s="3">
        <f>Table13[[#This Row],[NetRevenue]]-Table13[[#This Row],[TotalCost]]</f>
        <v>140000</v>
      </c>
      <c r="U385" s="3"/>
    </row>
    <row r="386" spans="1:21" x14ac:dyDescent="0.25">
      <c r="A386" t="s">
        <v>722</v>
      </c>
      <c r="B386" s="20">
        <v>45889</v>
      </c>
      <c r="C386" t="s">
        <v>30</v>
      </c>
      <c r="D386" t="s">
        <v>41</v>
      </c>
      <c r="E386" t="s">
        <v>42</v>
      </c>
      <c r="F386" t="s">
        <v>43</v>
      </c>
      <c r="G386" t="s">
        <v>44</v>
      </c>
      <c r="H386" t="s">
        <v>23</v>
      </c>
      <c r="I386" t="s">
        <v>102</v>
      </c>
      <c r="J386" t="s">
        <v>25</v>
      </c>
      <c r="K386">
        <v>2</v>
      </c>
      <c r="L386" s="3">
        <v>42000</v>
      </c>
      <c r="M386" s="3">
        <v>24700</v>
      </c>
      <c r="N386">
        <v>0</v>
      </c>
      <c r="O386" t="s">
        <v>26</v>
      </c>
      <c r="P386" t="s">
        <v>48</v>
      </c>
      <c r="Q386" s="3">
        <f>Table13[[#This Row],[Quantity]]*Table13[[#This Row],[UnitPrice_NGN]]</f>
        <v>84000</v>
      </c>
      <c r="R386" s="9">
        <f>Table13[[#This Row],[GrossRevenue]]*(1-Table13[[#This Row],[DiscountRate]])</f>
        <v>84000</v>
      </c>
      <c r="S386" s="3">
        <f>Table13[[#This Row],[Quantity]]*Table13[[#This Row],[UnitCost_NGN]]</f>
        <v>49400</v>
      </c>
      <c r="T386" s="3">
        <f>Table13[[#This Row],[NetRevenue]]-Table13[[#This Row],[TotalCost]]</f>
        <v>34600</v>
      </c>
      <c r="U386" s="3"/>
    </row>
    <row r="387" spans="1:21" x14ac:dyDescent="0.25">
      <c r="A387" t="s">
        <v>724</v>
      </c>
      <c r="B387" s="20">
        <v>45998</v>
      </c>
      <c r="C387" t="s">
        <v>40</v>
      </c>
      <c r="D387" t="s">
        <v>78</v>
      </c>
      <c r="E387" t="s">
        <v>79</v>
      </c>
      <c r="F387" t="s">
        <v>80</v>
      </c>
      <c r="G387" t="s">
        <v>33</v>
      </c>
      <c r="H387" t="s">
        <v>112</v>
      </c>
      <c r="I387" t="s">
        <v>113</v>
      </c>
      <c r="J387" t="s">
        <v>36</v>
      </c>
      <c r="K387">
        <v>6</v>
      </c>
      <c r="L387" s="3">
        <v>176000</v>
      </c>
      <c r="M387" s="3">
        <v>115000</v>
      </c>
      <c r="N387">
        <v>0.15</v>
      </c>
      <c r="O387" t="s">
        <v>47</v>
      </c>
      <c r="P387" t="s">
        <v>48</v>
      </c>
      <c r="Q387" s="3">
        <f>Table13[[#This Row],[Quantity]]*Table13[[#This Row],[UnitPrice_NGN]]</f>
        <v>1056000</v>
      </c>
      <c r="R387" s="9">
        <f>Table13[[#This Row],[GrossRevenue]]*(1-Table13[[#This Row],[DiscountRate]])</f>
        <v>897600</v>
      </c>
      <c r="S387" s="3">
        <f>Table13[[#This Row],[Quantity]]*Table13[[#This Row],[UnitCost_NGN]]</f>
        <v>690000</v>
      </c>
      <c r="T387" s="3">
        <f>Table13[[#This Row],[NetRevenue]]-Table13[[#This Row],[TotalCost]]</f>
        <v>207600</v>
      </c>
      <c r="U387" s="3"/>
    </row>
    <row r="388" spans="1:21" x14ac:dyDescent="0.25">
      <c r="A388" t="s">
        <v>726</v>
      </c>
      <c r="B388" s="20">
        <v>45884</v>
      </c>
      <c r="C388" t="s">
        <v>30</v>
      </c>
      <c r="D388" t="s">
        <v>31</v>
      </c>
      <c r="E388" t="s">
        <v>32</v>
      </c>
      <c r="F388" t="s">
        <v>21</v>
      </c>
      <c r="G388" t="s">
        <v>62</v>
      </c>
      <c r="H388" t="s">
        <v>23</v>
      </c>
      <c r="I388" t="s">
        <v>93</v>
      </c>
      <c r="J388" t="s">
        <v>46</v>
      </c>
      <c r="K388">
        <v>1</v>
      </c>
      <c r="L388" s="3">
        <v>95000</v>
      </c>
      <c r="M388" s="3">
        <v>82000</v>
      </c>
      <c r="N388">
        <v>0.1</v>
      </c>
      <c r="O388" t="s">
        <v>64</v>
      </c>
      <c r="P388" t="s">
        <v>48</v>
      </c>
      <c r="Q388" s="3">
        <f>Table13[[#This Row],[Quantity]]*Table13[[#This Row],[UnitPrice_NGN]]</f>
        <v>95000</v>
      </c>
      <c r="R388" s="9">
        <f>Table13[[#This Row],[GrossRevenue]]*(1-Table13[[#This Row],[DiscountRate]])</f>
        <v>85500</v>
      </c>
      <c r="S388" s="3">
        <f>Table13[[#This Row],[Quantity]]*Table13[[#This Row],[UnitCost_NGN]]</f>
        <v>82000</v>
      </c>
      <c r="T388" s="3">
        <f>Table13[[#This Row],[NetRevenue]]-Table13[[#This Row],[TotalCost]]</f>
        <v>3500</v>
      </c>
      <c r="U388" s="3"/>
    </row>
    <row r="389" spans="1:21" x14ac:dyDescent="0.25">
      <c r="A389" t="s">
        <v>727</v>
      </c>
      <c r="B389" s="20">
        <v>45746</v>
      </c>
      <c r="C389" t="s">
        <v>30</v>
      </c>
      <c r="D389" t="s">
        <v>60</v>
      </c>
      <c r="E389" t="s">
        <v>61</v>
      </c>
      <c r="F389" t="s">
        <v>43</v>
      </c>
      <c r="G389" t="s">
        <v>22</v>
      </c>
      <c r="H389" t="s">
        <v>112</v>
      </c>
      <c r="I389" t="s">
        <v>102</v>
      </c>
      <c r="J389" t="s">
        <v>25</v>
      </c>
      <c r="K389">
        <v>2</v>
      </c>
      <c r="L389" s="3">
        <v>39900</v>
      </c>
      <c r="M389" s="3">
        <v>24700</v>
      </c>
      <c r="N389">
        <v>0</v>
      </c>
      <c r="O389" t="s">
        <v>148</v>
      </c>
      <c r="P389" t="s">
        <v>27</v>
      </c>
      <c r="Q389" s="3">
        <f>Table13[[#This Row],[Quantity]]*Table13[[#This Row],[UnitPrice_NGN]]</f>
        <v>79800</v>
      </c>
      <c r="R389" s="9">
        <f>Table13[[#This Row],[GrossRevenue]]*(1-Table13[[#This Row],[DiscountRate]])</f>
        <v>79800</v>
      </c>
      <c r="S389" s="3">
        <f>Table13[[#This Row],[Quantity]]*Table13[[#This Row],[UnitCost_NGN]]</f>
        <v>49400</v>
      </c>
      <c r="T389" s="3">
        <f>Table13[[#This Row],[NetRevenue]]-Table13[[#This Row],[TotalCost]]</f>
        <v>30400</v>
      </c>
      <c r="U389" s="3"/>
    </row>
    <row r="390" spans="1:21" x14ac:dyDescent="0.25">
      <c r="A390" t="s">
        <v>728</v>
      </c>
      <c r="B390" s="20">
        <v>45788</v>
      </c>
      <c r="C390" t="s">
        <v>40</v>
      </c>
      <c r="D390" t="s">
        <v>41</v>
      </c>
      <c r="E390" t="s">
        <v>42</v>
      </c>
      <c r="F390" t="s">
        <v>43</v>
      </c>
      <c r="G390" t="s">
        <v>33</v>
      </c>
      <c r="H390" t="s">
        <v>34</v>
      </c>
      <c r="I390" t="s">
        <v>55</v>
      </c>
      <c r="J390" t="s">
        <v>56</v>
      </c>
      <c r="K390">
        <v>4</v>
      </c>
      <c r="L390" s="3">
        <v>45600</v>
      </c>
      <c r="M390" s="3">
        <v>30000</v>
      </c>
      <c r="N390">
        <v>0.1</v>
      </c>
      <c r="O390" t="s">
        <v>148</v>
      </c>
      <c r="P390" t="s">
        <v>48</v>
      </c>
      <c r="Q390" s="3">
        <f>Table13[[#This Row],[Quantity]]*Table13[[#This Row],[UnitPrice_NGN]]</f>
        <v>182400</v>
      </c>
      <c r="R390" s="9">
        <f>Table13[[#This Row],[GrossRevenue]]*(1-Table13[[#This Row],[DiscountRate]])</f>
        <v>164160</v>
      </c>
      <c r="S390" s="3">
        <f>Table13[[#This Row],[Quantity]]*Table13[[#This Row],[UnitCost_NGN]]</f>
        <v>120000</v>
      </c>
      <c r="T390" s="3">
        <f>Table13[[#This Row],[NetRevenue]]-Table13[[#This Row],[TotalCost]]</f>
        <v>44160</v>
      </c>
      <c r="U390" s="3"/>
    </row>
    <row r="391" spans="1:21" x14ac:dyDescent="0.25">
      <c r="A391" t="s">
        <v>729</v>
      </c>
      <c r="B391" s="20">
        <v>45951</v>
      </c>
      <c r="C391" t="s">
        <v>40</v>
      </c>
      <c r="D391" t="s">
        <v>88</v>
      </c>
      <c r="E391" t="s">
        <v>89</v>
      </c>
      <c r="F391" t="s">
        <v>43</v>
      </c>
      <c r="G391" t="s">
        <v>22</v>
      </c>
      <c r="H391" t="s">
        <v>63</v>
      </c>
      <c r="I391" t="s">
        <v>75</v>
      </c>
      <c r="J391" t="s">
        <v>36</v>
      </c>
      <c r="K391">
        <v>4</v>
      </c>
      <c r="L391" s="3">
        <v>198000</v>
      </c>
      <c r="M391" s="3">
        <v>130000</v>
      </c>
      <c r="N391">
        <v>0.05</v>
      </c>
      <c r="O391" t="s">
        <v>64</v>
      </c>
      <c r="P391" t="s">
        <v>133</v>
      </c>
      <c r="Q391" s="3">
        <f>Table13[[#This Row],[Quantity]]*Table13[[#This Row],[UnitPrice_NGN]]</f>
        <v>792000</v>
      </c>
      <c r="R391" s="9">
        <f>Table13[[#This Row],[GrossRevenue]]*(1-Table13[[#This Row],[DiscountRate]])</f>
        <v>752400</v>
      </c>
      <c r="S391" s="3">
        <f>Table13[[#This Row],[Quantity]]*Table13[[#This Row],[UnitCost_NGN]]</f>
        <v>520000</v>
      </c>
      <c r="T391" s="3">
        <f>Table13[[#This Row],[NetRevenue]]-Table13[[#This Row],[TotalCost]]</f>
        <v>232400</v>
      </c>
      <c r="U391" s="3"/>
    </row>
    <row r="392" spans="1:21" x14ac:dyDescent="0.25">
      <c r="A392" t="s">
        <v>730</v>
      </c>
      <c r="B392" s="20">
        <v>45936</v>
      </c>
      <c r="C392" t="s">
        <v>40</v>
      </c>
      <c r="D392" t="s">
        <v>78</v>
      </c>
      <c r="E392" t="s">
        <v>79</v>
      </c>
      <c r="F392" t="s">
        <v>80</v>
      </c>
      <c r="G392" t="s">
        <v>22</v>
      </c>
      <c r="H392" t="s">
        <v>63</v>
      </c>
      <c r="I392" t="s">
        <v>75</v>
      </c>
      <c r="J392" t="s">
        <v>36</v>
      </c>
      <c r="K392">
        <v>1</v>
      </c>
      <c r="L392" s="3">
        <v>180000</v>
      </c>
      <c r="M392" s="3">
        <v>130000</v>
      </c>
      <c r="N392">
        <v>0.05</v>
      </c>
      <c r="O392" t="s">
        <v>64</v>
      </c>
      <c r="P392" t="s">
        <v>133</v>
      </c>
      <c r="Q392" s="3">
        <f>Table13[[#This Row],[Quantity]]*Table13[[#This Row],[UnitPrice_NGN]]</f>
        <v>180000</v>
      </c>
      <c r="R392" s="9">
        <f>Table13[[#This Row],[GrossRevenue]]*(1-Table13[[#This Row],[DiscountRate]])</f>
        <v>171000</v>
      </c>
      <c r="S392" s="3">
        <f>Table13[[#This Row],[Quantity]]*Table13[[#This Row],[UnitCost_NGN]]</f>
        <v>130000</v>
      </c>
      <c r="T392" s="3">
        <f>Table13[[#This Row],[NetRevenue]]-Table13[[#This Row],[TotalCost]]</f>
        <v>41000</v>
      </c>
      <c r="U392" s="3"/>
    </row>
    <row r="393" spans="1:21" x14ac:dyDescent="0.25">
      <c r="A393" t="s">
        <v>732</v>
      </c>
      <c r="B393" s="20">
        <v>45974</v>
      </c>
      <c r="C393" t="s">
        <v>40</v>
      </c>
      <c r="D393" t="s">
        <v>120</v>
      </c>
      <c r="E393" t="s">
        <v>121</v>
      </c>
      <c r="F393" t="s">
        <v>122</v>
      </c>
      <c r="G393" t="s">
        <v>22</v>
      </c>
      <c r="H393" t="s">
        <v>96</v>
      </c>
      <c r="I393" t="s">
        <v>113</v>
      </c>
      <c r="J393" t="s">
        <v>36</v>
      </c>
      <c r="K393">
        <v>2</v>
      </c>
      <c r="L393" s="3">
        <v>160000</v>
      </c>
      <c r="M393" s="3">
        <v>115000</v>
      </c>
      <c r="N393">
        <v>0</v>
      </c>
      <c r="O393" t="s">
        <v>47</v>
      </c>
      <c r="P393" t="s">
        <v>133</v>
      </c>
      <c r="Q393" s="3">
        <f>Table13[[#This Row],[Quantity]]*Table13[[#This Row],[UnitPrice_NGN]]</f>
        <v>320000</v>
      </c>
      <c r="R393" s="9">
        <f>Table13[[#This Row],[GrossRevenue]]*(1-Table13[[#This Row],[DiscountRate]])</f>
        <v>320000</v>
      </c>
      <c r="S393" s="3">
        <f>Table13[[#This Row],[Quantity]]*Table13[[#This Row],[UnitCost_NGN]]</f>
        <v>230000</v>
      </c>
      <c r="T393" s="3">
        <f>Table13[[#This Row],[NetRevenue]]-Table13[[#This Row],[TotalCost]]</f>
        <v>90000</v>
      </c>
      <c r="U393" s="3"/>
    </row>
    <row r="394" spans="1:21" x14ac:dyDescent="0.25">
      <c r="A394" t="s">
        <v>734</v>
      </c>
      <c r="B394" s="20">
        <v>46007</v>
      </c>
      <c r="C394" t="s">
        <v>40</v>
      </c>
      <c r="D394" t="s">
        <v>60</v>
      </c>
      <c r="E394" t="s">
        <v>61</v>
      </c>
      <c r="F394" t="s">
        <v>43</v>
      </c>
      <c r="G394" t="s">
        <v>22</v>
      </c>
      <c r="H394" t="s">
        <v>112</v>
      </c>
      <c r="I394" t="s">
        <v>97</v>
      </c>
      <c r="J394" t="s">
        <v>56</v>
      </c>
      <c r="K394">
        <v>10</v>
      </c>
      <c r="L394" s="3">
        <v>125000</v>
      </c>
      <c r="M394" s="3">
        <v>85000</v>
      </c>
      <c r="N394">
        <v>0</v>
      </c>
      <c r="O394" t="s">
        <v>57</v>
      </c>
      <c r="P394" t="s">
        <v>48</v>
      </c>
      <c r="Q394" s="3">
        <f>Table13[[#This Row],[Quantity]]*Table13[[#This Row],[UnitPrice_NGN]]</f>
        <v>1250000</v>
      </c>
      <c r="R394" s="9">
        <f>Table13[[#This Row],[GrossRevenue]]*(1-Table13[[#This Row],[DiscountRate]])</f>
        <v>1250000</v>
      </c>
      <c r="S394" s="3">
        <f>Table13[[#This Row],[Quantity]]*Table13[[#This Row],[UnitCost_NGN]]</f>
        <v>850000</v>
      </c>
      <c r="T394" s="3">
        <f>Table13[[#This Row],[NetRevenue]]-Table13[[#This Row],[TotalCost]]</f>
        <v>400000</v>
      </c>
      <c r="U394" s="3"/>
    </row>
    <row r="395" spans="1:21" x14ac:dyDescent="0.25">
      <c r="A395" t="s">
        <v>736</v>
      </c>
      <c r="B395" s="20">
        <v>45918</v>
      </c>
      <c r="C395" t="s">
        <v>40</v>
      </c>
      <c r="D395" t="s">
        <v>136</v>
      </c>
      <c r="E395" t="s">
        <v>137</v>
      </c>
      <c r="F395" t="s">
        <v>122</v>
      </c>
      <c r="G395" t="s">
        <v>22</v>
      </c>
      <c r="H395" t="s">
        <v>63</v>
      </c>
      <c r="I395" t="s">
        <v>93</v>
      </c>
      <c r="J395" t="s">
        <v>46</v>
      </c>
      <c r="K395">
        <v>2</v>
      </c>
      <c r="L395" s="3">
        <v>95000</v>
      </c>
      <c r="M395" s="3">
        <v>82000</v>
      </c>
      <c r="N395">
        <v>0.1</v>
      </c>
      <c r="O395" t="s">
        <v>64</v>
      </c>
      <c r="P395" t="s">
        <v>72</v>
      </c>
      <c r="Q395" s="3">
        <f>Table13[[#This Row],[Quantity]]*Table13[[#This Row],[UnitPrice_NGN]]</f>
        <v>190000</v>
      </c>
      <c r="R395" s="9">
        <f>Table13[[#This Row],[GrossRevenue]]*(1-Table13[[#This Row],[DiscountRate]])</f>
        <v>171000</v>
      </c>
      <c r="S395" s="3">
        <f>Table13[[#This Row],[Quantity]]*Table13[[#This Row],[UnitCost_NGN]]</f>
        <v>164000</v>
      </c>
      <c r="T395" s="3">
        <f>Table13[[#This Row],[NetRevenue]]-Table13[[#This Row],[TotalCost]]</f>
        <v>7000</v>
      </c>
      <c r="U395" s="3"/>
    </row>
    <row r="396" spans="1:21" x14ac:dyDescent="0.25">
      <c r="A396" t="s">
        <v>737</v>
      </c>
      <c r="B396" s="20">
        <v>45931</v>
      </c>
      <c r="C396" t="s">
        <v>30</v>
      </c>
      <c r="D396" t="s">
        <v>78</v>
      </c>
      <c r="E396" t="s">
        <v>79</v>
      </c>
      <c r="F396" t="s">
        <v>80</v>
      </c>
      <c r="G396" t="s">
        <v>22</v>
      </c>
      <c r="H396" t="s">
        <v>34</v>
      </c>
      <c r="I396" t="s">
        <v>105</v>
      </c>
      <c r="J396" t="s">
        <v>71</v>
      </c>
      <c r="K396">
        <v>1</v>
      </c>
      <c r="L396" s="3">
        <v>157500</v>
      </c>
      <c r="M396" s="3">
        <v>120000</v>
      </c>
      <c r="N396">
        <v>0.1</v>
      </c>
      <c r="O396" t="s">
        <v>64</v>
      </c>
      <c r="P396" t="s">
        <v>48</v>
      </c>
      <c r="Q396" s="3">
        <f>Table13[[#This Row],[Quantity]]*Table13[[#This Row],[UnitPrice_NGN]]</f>
        <v>157500</v>
      </c>
      <c r="R396" s="9">
        <f>Table13[[#This Row],[GrossRevenue]]*(1-Table13[[#This Row],[DiscountRate]])</f>
        <v>141750</v>
      </c>
      <c r="S396" s="3">
        <f>Table13[[#This Row],[Quantity]]*Table13[[#This Row],[UnitCost_NGN]]</f>
        <v>120000</v>
      </c>
      <c r="T396" s="3">
        <f>Table13[[#This Row],[NetRevenue]]-Table13[[#This Row],[TotalCost]]</f>
        <v>21750</v>
      </c>
      <c r="U396" s="3"/>
    </row>
    <row r="397" spans="1:21" x14ac:dyDescent="0.25">
      <c r="A397" t="s">
        <v>738</v>
      </c>
      <c r="B397" s="20">
        <v>45694</v>
      </c>
      <c r="C397" t="s">
        <v>30</v>
      </c>
      <c r="D397" t="s">
        <v>83</v>
      </c>
      <c r="E397" t="s">
        <v>84</v>
      </c>
      <c r="F397" t="s">
        <v>85</v>
      </c>
      <c r="G397" t="s">
        <v>44</v>
      </c>
      <c r="H397" t="s">
        <v>96</v>
      </c>
      <c r="I397" t="s">
        <v>24</v>
      </c>
      <c r="J397" t="s">
        <v>25</v>
      </c>
      <c r="K397">
        <v>8</v>
      </c>
      <c r="L397" s="3">
        <v>20900</v>
      </c>
      <c r="M397" s="3">
        <v>13650</v>
      </c>
      <c r="N397">
        <v>0.15</v>
      </c>
      <c r="O397" t="s">
        <v>37</v>
      </c>
      <c r="P397" t="s">
        <v>27</v>
      </c>
      <c r="Q397" s="3">
        <f>Table13[[#This Row],[Quantity]]*Table13[[#This Row],[UnitPrice_NGN]]</f>
        <v>167200</v>
      </c>
      <c r="R397" s="9">
        <f>Table13[[#This Row],[GrossRevenue]]*(1-Table13[[#This Row],[DiscountRate]])</f>
        <v>142120</v>
      </c>
      <c r="S397" s="3">
        <f>Table13[[#This Row],[Quantity]]*Table13[[#This Row],[UnitCost_NGN]]</f>
        <v>109200</v>
      </c>
      <c r="T397" s="3">
        <f>Table13[[#This Row],[NetRevenue]]-Table13[[#This Row],[TotalCost]]</f>
        <v>32920</v>
      </c>
      <c r="U397" s="3"/>
    </row>
    <row r="398" spans="1:21" x14ac:dyDescent="0.25">
      <c r="A398" t="s">
        <v>739</v>
      </c>
      <c r="B398" s="20">
        <v>45786</v>
      </c>
      <c r="C398" t="s">
        <v>18</v>
      </c>
      <c r="D398" t="s">
        <v>88</v>
      </c>
      <c r="E398" t="s">
        <v>89</v>
      </c>
      <c r="F398" t="s">
        <v>43</v>
      </c>
      <c r="G398" t="s">
        <v>44</v>
      </c>
      <c r="H398" t="s">
        <v>63</v>
      </c>
      <c r="I398" t="s">
        <v>102</v>
      </c>
      <c r="J398" t="s">
        <v>25</v>
      </c>
      <c r="K398">
        <v>1</v>
      </c>
      <c r="L398" s="3">
        <v>37800</v>
      </c>
      <c r="M398" s="3">
        <v>24700</v>
      </c>
      <c r="N398">
        <v>0</v>
      </c>
      <c r="O398" t="s">
        <v>26</v>
      </c>
      <c r="P398" t="s">
        <v>133</v>
      </c>
      <c r="Q398" s="3">
        <f>Table13[[#This Row],[Quantity]]*Table13[[#This Row],[UnitPrice_NGN]]</f>
        <v>37800</v>
      </c>
      <c r="R398" s="9">
        <f>Table13[[#This Row],[GrossRevenue]]*(1-Table13[[#This Row],[DiscountRate]])</f>
        <v>37800</v>
      </c>
      <c r="S398" s="3">
        <f>Table13[[#This Row],[Quantity]]*Table13[[#This Row],[UnitCost_NGN]]</f>
        <v>24700</v>
      </c>
      <c r="T398" s="3">
        <f>Table13[[#This Row],[NetRevenue]]-Table13[[#This Row],[TotalCost]]</f>
        <v>13100</v>
      </c>
      <c r="U398" s="3"/>
    </row>
    <row r="399" spans="1:21" x14ac:dyDescent="0.25">
      <c r="A399" t="s">
        <v>740</v>
      </c>
      <c r="B399" s="20">
        <v>45857</v>
      </c>
      <c r="C399" t="s">
        <v>18</v>
      </c>
      <c r="D399" t="s">
        <v>110</v>
      </c>
      <c r="E399" t="s">
        <v>111</v>
      </c>
      <c r="F399" t="s">
        <v>85</v>
      </c>
      <c r="G399" t="s">
        <v>22</v>
      </c>
      <c r="H399" t="s">
        <v>23</v>
      </c>
      <c r="I399" t="s">
        <v>55</v>
      </c>
      <c r="J399" t="s">
        <v>56</v>
      </c>
      <c r="K399">
        <v>4</v>
      </c>
      <c r="L399" s="3">
        <v>48000</v>
      </c>
      <c r="M399" s="3">
        <v>30000</v>
      </c>
      <c r="N399">
        <v>0</v>
      </c>
      <c r="O399" t="s">
        <v>52</v>
      </c>
      <c r="P399" t="s">
        <v>27</v>
      </c>
      <c r="Q399" s="3">
        <f>Table13[[#This Row],[Quantity]]*Table13[[#This Row],[UnitPrice_NGN]]</f>
        <v>192000</v>
      </c>
      <c r="R399" s="9">
        <f>Table13[[#This Row],[GrossRevenue]]*(1-Table13[[#This Row],[DiscountRate]])</f>
        <v>192000</v>
      </c>
      <c r="S399" s="3">
        <f>Table13[[#This Row],[Quantity]]*Table13[[#This Row],[UnitCost_NGN]]</f>
        <v>120000</v>
      </c>
      <c r="T399" s="3">
        <f>Table13[[#This Row],[NetRevenue]]-Table13[[#This Row],[TotalCost]]</f>
        <v>72000</v>
      </c>
      <c r="U399" s="3"/>
    </row>
    <row r="400" spans="1:21" x14ac:dyDescent="0.25">
      <c r="A400" t="s">
        <v>742</v>
      </c>
      <c r="B400" s="20">
        <v>45915</v>
      </c>
      <c r="C400" t="s">
        <v>40</v>
      </c>
      <c r="D400" t="s">
        <v>131</v>
      </c>
      <c r="E400" t="s">
        <v>132</v>
      </c>
      <c r="F400" t="s">
        <v>80</v>
      </c>
      <c r="G400" t="s">
        <v>62</v>
      </c>
      <c r="H400" t="s">
        <v>23</v>
      </c>
      <c r="I400" t="s">
        <v>102</v>
      </c>
      <c r="J400" t="s">
        <v>25</v>
      </c>
      <c r="K400">
        <v>1</v>
      </c>
      <c r="L400" s="3">
        <v>46200</v>
      </c>
      <c r="M400" s="3">
        <v>24700</v>
      </c>
      <c r="N400">
        <v>0</v>
      </c>
      <c r="O400" t="s">
        <v>52</v>
      </c>
      <c r="P400" t="s">
        <v>48</v>
      </c>
      <c r="Q400" s="3">
        <f>Table13[[#This Row],[Quantity]]*Table13[[#This Row],[UnitPrice_NGN]]</f>
        <v>46200</v>
      </c>
      <c r="R400" s="9">
        <f>Table13[[#This Row],[GrossRevenue]]*(1-Table13[[#This Row],[DiscountRate]])</f>
        <v>46200</v>
      </c>
      <c r="S400" s="3">
        <f>Table13[[#This Row],[Quantity]]*Table13[[#This Row],[UnitCost_NGN]]</f>
        <v>24700</v>
      </c>
      <c r="T400" s="3">
        <f>Table13[[#This Row],[NetRevenue]]-Table13[[#This Row],[TotalCost]]</f>
        <v>21500</v>
      </c>
      <c r="U400" s="3"/>
    </row>
    <row r="401" spans="1:21" x14ac:dyDescent="0.25">
      <c r="A401" t="s">
        <v>743</v>
      </c>
      <c r="B401" s="20">
        <v>45738</v>
      </c>
      <c r="C401" t="s">
        <v>18</v>
      </c>
      <c r="D401" t="s">
        <v>110</v>
      </c>
      <c r="E401" t="s">
        <v>111</v>
      </c>
      <c r="F401" t="s">
        <v>85</v>
      </c>
      <c r="G401" t="s">
        <v>44</v>
      </c>
      <c r="H401" t="s">
        <v>112</v>
      </c>
      <c r="I401" t="s">
        <v>70</v>
      </c>
      <c r="J401" t="s">
        <v>71</v>
      </c>
      <c r="K401">
        <v>3</v>
      </c>
      <c r="L401" s="3">
        <v>104500</v>
      </c>
      <c r="M401" s="3">
        <v>58900</v>
      </c>
      <c r="N401">
        <v>0.05</v>
      </c>
      <c r="O401" t="s">
        <v>57</v>
      </c>
      <c r="P401" t="s">
        <v>133</v>
      </c>
      <c r="Q401" s="3">
        <f>Table13[[#This Row],[Quantity]]*Table13[[#This Row],[UnitPrice_NGN]]</f>
        <v>313500</v>
      </c>
      <c r="R401" s="9">
        <f>Table13[[#This Row],[GrossRevenue]]*(1-Table13[[#This Row],[DiscountRate]])</f>
        <v>297825</v>
      </c>
      <c r="S401" s="3">
        <f>Table13[[#This Row],[Quantity]]*Table13[[#This Row],[UnitCost_NGN]]</f>
        <v>176700</v>
      </c>
      <c r="T401" s="3">
        <f>Table13[[#This Row],[NetRevenue]]-Table13[[#This Row],[TotalCost]]</f>
        <v>121125</v>
      </c>
      <c r="U401" s="3"/>
    </row>
    <row r="402" spans="1:21" x14ac:dyDescent="0.25">
      <c r="A402" t="s">
        <v>745</v>
      </c>
      <c r="B402" s="20">
        <v>45941</v>
      </c>
      <c r="C402" t="s">
        <v>18</v>
      </c>
      <c r="D402" t="s">
        <v>157</v>
      </c>
      <c r="E402" t="s">
        <v>158</v>
      </c>
      <c r="F402" t="s">
        <v>21</v>
      </c>
      <c r="G402" t="s">
        <v>22</v>
      </c>
      <c r="H402" t="s">
        <v>96</v>
      </c>
      <c r="I402" t="s">
        <v>24</v>
      </c>
      <c r="J402" t="s">
        <v>25</v>
      </c>
      <c r="K402">
        <v>2</v>
      </c>
      <c r="L402" s="3">
        <v>24200</v>
      </c>
      <c r="M402" s="3">
        <v>13000</v>
      </c>
      <c r="N402">
        <v>0</v>
      </c>
      <c r="O402" t="s">
        <v>148</v>
      </c>
      <c r="P402" t="s">
        <v>133</v>
      </c>
      <c r="Q402" s="3">
        <f>Table13[[#This Row],[Quantity]]*Table13[[#This Row],[UnitPrice_NGN]]</f>
        <v>48400</v>
      </c>
      <c r="R402" s="9">
        <f>Table13[[#This Row],[GrossRevenue]]*(1-Table13[[#This Row],[DiscountRate]])</f>
        <v>48400</v>
      </c>
      <c r="S402" s="3">
        <f>Table13[[#This Row],[Quantity]]*Table13[[#This Row],[UnitCost_NGN]]</f>
        <v>26000</v>
      </c>
      <c r="T402" s="3">
        <f>Table13[[#This Row],[NetRevenue]]-Table13[[#This Row],[TotalCost]]</f>
        <v>22400</v>
      </c>
      <c r="U402" s="3"/>
    </row>
    <row r="403" spans="1:21" x14ac:dyDescent="0.25">
      <c r="A403" t="s">
        <v>747</v>
      </c>
      <c r="B403" s="20">
        <v>45765</v>
      </c>
      <c r="C403" t="s">
        <v>30</v>
      </c>
      <c r="D403" t="s">
        <v>131</v>
      </c>
      <c r="E403" t="s">
        <v>132</v>
      </c>
      <c r="F403" t="s">
        <v>80</v>
      </c>
      <c r="G403" t="s">
        <v>62</v>
      </c>
      <c r="H403" t="s">
        <v>34</v>
      </c>
      <c r="I403" t="s">
        <v>45</v>
      </c>
      <c r="J403" t="s">
        <v>46</v>
      </c>
      <c r="K403">
        <v>3</v>
      </c>
      <c r="L403" s="3">
        <v>18500</v>
      </c>
      <c r="M403" s="3">
        <v>13775</v>
      </c>
      <c r="N403">
        <v>0</v>
      </c>
      <c r="O403" t="s">
        <v>26</v>
      </c>
      <c r="P403" t="s">
        <v>27</v>
      </c>
      <c r="Q403" s="3">
        <f>Table13[[#This Row],[Quantity]]*Table13[[#This Row],[UnitPrice_NGN]]</f>
        <v>55500</v>
      </c>
      <c r="R403" s="9">
        <f>Table13[[#This Row],[GrossRevenue]]*(1-Table13[[#This Row],[DiscountRate]])</f>
        <v>55500</v>
      </c>
      <c r="S403" s="3">
        <f>Table13[[#This Row],[Quantity]]*Table13[[#This Row],[UnitCost_NGN]]</f>
        <v>41325</v>
      </c>
      <c r="T403" s="3">
        <f>Table13[[#This Row],[NetRevenue]]-Table13[[#This Row],[TotalCost]]</f>
        <v>14175</v>
      </c>
      <c r="U403" s="3"/>
    </row>
    <row r="404" spans="1:21" x14ac:dyDescent="0.25">
      <c r="A404" t="s">
        <v>748</v>
      </c>
      <c r="B404" s="20">
        <v>45787</v>
      </c>
      <c r="C404" t="s">
        <v>18</v>
      </c>
      <c r="D404" t="s">
        <v>78</v>
      </c>
      <c r="E404" t="s">
        <v>79</v>
      </c>
      <c r="F404" t="s">
        <v>80</v>
      </c>
      <c r="G404" t="s">
        <v>44</v>
      </c>
      <c r="H404" t="s">
        <v>23</v>
      </c>
      <c r="I404" t="s">
        <v>24</v>
      </c>
      <c r="J404" t="s">
        <v>25</v>
      </c>
      <c r="K404">
        <v>1</v>
      </c>
      <c r="L404" s="3">
        <v>20900</v>
      </c>
      <c r="M404" s="3">
        <v>13000</v>
      </c>
      <c r="N404">
        <v>0.1</v>
      </c>
      <c r="O404" t="s">
        <v>148</v>
      </c>
      <c r="P404" t="s">
        <v>48</v>
      </c>
      <c r="Q404" s="3">
        <f>Table13[[#This Row],[Quantity]]*Table13[[#This Row],[UnitPrice_NGN]]</f>
        <v>20900</v>
      </c>
      <c r="R404" s="9">
        <f>Table13[[#This Row],[GrossRevenue]]*(1-Table13[[#This Row],[DiscountRate]])</f>
        <v>18810</v>
      </c>
      <c r="S404" s="3">
        <f>Table13[[#This Row],[Quantity]]*Table13[[#This Row],[UnitCost_NGN]]</f>
        <v>13000</v>
      </c>
      <c r="T404" s="3">
        <f>Table13[[#This Row],[NetRevenue]]-Table13[[#This Row],[TotalCost]]</f>
        <v>5810</v>
      </c>
      <c r="U404" s="3"/>
    </row>
    <row r="405" spans="1:21" x14ac:dyDescent="0.25">
      <c r="A405" t="s">
        <v>749</v>
      </c>
      <c r="B405" s="20">
        <v>45692</v>
      </c>
      <c r="C405" t="s">
        <v>18</v>
      </c>
      <c r="D405" t="s">
        <v>110</v>
      </c>
      <c r="E405" t="s">
        <v>111</v>
      </c>
      <c r="F405" t="s">
        <v>85</v>
      </c>
      <c r="G405" t="s">
        <v>44</v>
      </c>
      <c r="H405" t="s">
        <v>23</v>
      </c>
      <c r="I405" t="s">
        <v>93</v>
      </c>
      <c r="J405" t="s">
        <v>46</v>
      </c>
      <c r="K405">
        <v>5</v>
      </c>
      <c r="L405" s="3">
        <v>85500</v>
      </c>
      <c r="M405" s="3">
        <v>82000</v>
      </c>
      <c r="N405">
        <v>0.15</v>
      </c>
      <c r="O405" t="s">
        <v>37</v>
      </c>
      <c r="P405" t="s">
        <v>48</v>
      </c>
      <c r="Q405" s="3">
        <f>Table13[[#This Row],[Quantity]]*Table13[[#This Row],[UnitPrice_NGN]]</f>
        <v>427500</v>
      </c>
      <c r="R405" s="9">
        <f>Table13[[#This Row],[GrossRevenue]]*(1-Table13[[#This Row],[DiscountRate]])</f>
        <v>363375</v>
      </c>
      <c r="S405" s="3">
        <f>Table13[[#This Row],[Quantity]]*Table13[[#This Row],[UnitCost_NGN]]</f>
        <v>410000</v>
      </c>
      <c r="T405" s="3">
        <f>Table13[[#This Row],[NetRevenue]]-Table13[[#This Row],[TotalCost]]</f>
        <v>-46625</v>
      </c>
      <c r="U405" s="3"/>
    </row>
    <row r="406" spans="1:21" x14ac:dyDescent="0.25">
      <c r="A406" t="s">
        <v>750</v>
      </c>
      <c r="B406" s="20">
        <v>45803</v>
      </c>
      <c r="C406" t="s">
        <v>18</v>
      </c>
      <c r="D406" t="s">
        <v>88</v>
      </c>
      <c r="E406" t="s">
        <v>89</v>
      </c>
      <c r="F406" t="s">
        <v>43</v>
      </c>
      <c r="G406" t="s">
        <v>44</v>
      </c>
      <c r="H406" t="s">
        <v>63</v>
      </c>
      <c r="I406" t="s">
        <v>105</v>
      </c>
      <c r="J406" t="s">
        <v>71</v>
      </c>
      <c r="K406">
        <v>1</v>
      </c>
      <c r="L406" s="3">
        <v>183750</v>
      </c>
      <c r="M406" s="3">
        <v>120000</v>
      </c>
      <c r="N406">
        <v>0</v>
      </c>
      <c r="O406" t="s">
        <v>37</v>
      </c>
      <c r="P406" t="s">
        <v>133</v>
      </c>
      <c r="Q406" s="3">
        <f>Table13[[#This Row],[Quantity]]*Table13[[#This Row],[UnitPrice_NGN]]</f>
        <v>183750</v>
      </c>
      <c r="R406" s="9">
        <f>Table13[[#This Row],[GrossRevenue]]*(1-Table13[[#This Row],[DiscountRate]])</f>
        <v>183750</v>
      </c>
      <c r="S406" s="3">
        <f>Table13[[#This Row],[Quantity]]*Table13[[#This Row],[UnitCost_NGN]]</f>
        <v>120000</v>
      </c>
      <c r="T406" s="3">
        <f>Table13[[#This Row],[NetRevenue]]-Table13[[#This Row],[TotalCost]]</f>
        <v>63750</v>
      </c>
      <c r="U406" s="3"/>
    </row>
    <row r="407" spans="1:21" x14ac:dyDescent="0.25">
      <c r="A407" t="s">
        <v>752</v>
      </c>
      <c r="B407" s="20">
        <v>45948</v>
      </c>
      <c r="C407" t="s">
        <v>40</v>
      </c>
      <c r="D407" t="s">
        <v>88</v>
      </c>
      <c r="E407" t="s">
        <v>89</v>
      </c>
      <c r="F407" t="s">
        <v>43</v>
      </c>
      <c r="G407" t="s">
        <v>33</v>
      </c>
      <c r="H407" t="s">
        <v>34</v>
      </c>
      <c r="I407" t="s">
        <v>97</v>
      </c>
      <c r="J407" t="s">
        <v>56</v>
      </c>
      <c r="K407">
        <v>4</v>
      </c>
      <c r="L407" s="3">
        <v>125000</v>
      </c>
      <c r="M407" s="3">
        <v>85000</v>
      </c>
      <c r="N407">
        <v>0.1</v>
      </c>
      <c r="O407" t="s">
        <v>148</v>
      </c>
      <c r="P407" t="s">
        <v>48</v>
      </c>
      <c r="Q407" s="3">
        <f>Table13[[#This Row],[Quantity]]*Table13[[#This Row],[UnitPrice_NGN]]</f>
        <v>500000</v>
      </c>
      <c r="R407" s="9">
        <f>Table13[[#This Row],[GrossRevenue]]*(1-Table13[[#This Row],[DiscountRate]])</f>
        <v>450000</v>
      </c>
      <c r="S407" s="3">
        <f>Table13[[#This Row],[Quantity]]*Table13[[#This Row],[UnitCost_NGN]]</f>
        <v>340000</v>
      </c>
      <c r="T407" s="3">
        <f>Table13[[#This Row],[NetRevenue]]-Table13[[#This Row],[TotalCost]]</f>
        <v>110000</v>
      </c>
      <c r="U407" s="3"/>
    </row>
    <row r="408" spans="1:21" x14ac:dyDescent="0.25">
      <c r="A408" t="s">
        <v>754</v>
      </c>
      <c r="B408" s="20">
        <v>45842</v>
      </c>
      <c r="C408" t="s">
        <v>30</v>
      </c>
      <c r="D408" t="s">
        <v>60</v>
      </c>
      <c r="E408" t="s">
        <v>61</v>
      </c>
      <c r="F408" t="s">
        <v>43</v>
      </c>
      <c r="G408" t="s">
        <v>62</v>
      </c>
      <c r="H408" t="s">
        <v>112</v>
      </c>
      <c r="I408" t="s">
        <v>105</v>
      </c>
      <c r="J408" t="s">
        <v>71</v>
      </c>
      <c r="K408">
        <v>6</v>
      </c>
      <c r="L408" s="3">
        <v>183750</v>
      </c>
      <c r="M408" s="3">
        <v>126000</v>
      </c>
      <c r="N408">
        <v>0</v>
      </c>
      <c r="O408" t="s">
        <v>37</v>
      </c>
      <c r="P408" t="s">
        <v>48</v>
      </c>
      <c r="Q408" s="3">
        <f>Table13[[#This Row],[Quantity]]*Table13[[#This Row],[UnitPrice_NGN]]</f>
        <v>1102500</v>
      </c>
      <c r="R408" s="9">
        <f>Table13[[#This Row],[GrossRevenue]]*(1-Table13[[#This Row],[DiscountRate]])</f>
        <v>1102500</v>
      </c>
      <c r="S408" s="3">
        <f>Table13[[#This Row],[Quantity]]*Table13[[#This Row],[UnitCost_NGN]]</f>
        <v>756000</v>
      </c>
      <c r="T408" s="3">
        <f>Table13[[#This Row],[NetRevenue]]-Table13[[#This Row],[TotalCost]]</f>
        <v>346500</v>
      </c>
      <c r="U408" s="3"/>
    </row>
    <row r="409" spans="1:21" x14ac:dyDescent="0.25">
      <c r="A409" t="s">
        <v>756</v>
      </c>
      <c r="B409" s="20">
        <v>45988</v>
      </c>
      <c r="C409" t="s">
        <v>18</v>
      </c>
      <c r="D409" t="s">
        <v>88</v>
      </c>
      <c r="E409" t="s">
        <v>89</v>
      </c>
      <c r="F409" t="s">
        <v>43</v>
      </c>
      <c r="G409" t="s">
        <v>62</v>
      </c>
      <c r="H409" t="s">
        <v>34</v>
      </c>
      <c r="I409" t="s">
        <v>97</v>
      </c>
      <c r="J409" t="s">
        <v>56</v>
      </c>
      <c r="K409">
        <v>6</v>
      </c>
      <c r="L409" s="3">
        <v>125000</v>
      </c>
      <c r="M409" s="3">
        <v>80750</v>
      </c>
      <c r="N409">
        <v>0</v>
      </c>
      <c r="O409" t="s">
        <v>64</v>
      </c>
      <c r="P409" t="s">
        <v>133</v>
      </c>
      <c r="Q409" s="3">
        <f>Table13[[#This Row],[Quantity]]*Table13[[#This Row],[UnitPrice_NGN]]</f>
        <v>750000</v>
      </c>
      <c r="R409" s="9">
        <f>Table13[[#This Row],[GrossRevenue]]*(1-Table13[[#This Row],[DiscountRate]])</f>
        <v>750000</v>
      </c>
      <c r="S409" s="3">
        <f>Table13[[#This Row],[Quantity]]*Table13[[#This Row],[UnitCost_NGN]]</f>
        <v>484500</v>
      </c>
      <c r="T409" s="3">
        <f>Table13[[#This Row],[NetRevenue]]-Table13[[#This Row],[TotalCost]]</f>
        <v>265500</v>
      </c>
      <c r="U409" s="3"/>
    </row>
    <row r="410" spans="1:21" x14ac:dyDescent="0.25">
      <c r="A410" t="s">
        <v>757</v>
      </c>
      <c r="B410" s="20">
        <v>45917</v>
      </c>
      <c r="C410" t="s">
        <v>18</v>
      </c>
      <c r="D410" t="s">
        <v>136</v>
      </c>
      <c r="E410" t="s">
        <v>137</v>
      </c>
      <c r="F410" t="s">
        <v>122</v>
      </c>
      <c r="G410" t="s">
        <v>33</v>
      </c>
      <c r="H410" t="s">
        <v>23</v>
      </c>
      <c r="I410" t="s">
        <v>70</v>
      </c>
      <c r="J410" t="s">
        <v>71</v>
      </c>
      <c r="K410">
        <v>10</v>
      </c>
      <c r="L410" s="3">
        <v>85500</v>
      </c>
      <c r="M410" s="3">
        <v>58900</v>
      </c>
      <c r="N410">
        <v>0</v>
      </c>
      <c r="O410" t="s">
        <v>64</v>
      </c>
      <c r="P410" t="s">
        <v>27</v>
      </c>
      <c r="Q410" s="3">
        <f>Table13[[#This Row],[Quantity]]*Table13[[#This Row],[UnitPrice_NGN]]</f>
        <v>855000</v>
      </c>
      <c r="R410" s="9">
        <f>Table13[[#This Row],[GrossRevenue]]*(1-Table13[[#This Row],[DiscountRate]])</f>
        <v>855000</v>
      </c>
      <c r="S410" s="3">
        <f>Table13[[#This Row],[Quantity]]*Table13[[#This Row],[UnitCost_NGN]]</f>
        <v>589000</v>
      </c>
      <c r="T410" s="3">
        <f>Table13[[#This Row],[NetRevenue]]-Table13[[#This Row],[TotalCost]]</f>
        <v>266000</v>
      </c>
      <c r="U410" s="3"/>
    </row>
    <row r="411" spans="1:21" x14ac:dyDescent="0.25">
      <c r="A411" t="s">
        <v>758</v>
      </c>
      <c r="B411" s="20">
        <v>45734</v>
      </c>
      <c r="C411" t="s">
        <v>40</v>
      </c>
      <c r="D411" t="s">
        <v>78</v>
      </c>
      <c r="E411" t="s">
        <v>79</v>
      </c>
      <c r="F411" t="s">
        <v>80</v>
      </c>
      <c r="G411" t="s">
        <v>44</v>
      </c>
      <c r="H411" t="s">
        <v>23</v>
      </c>
      <c r="I411" t="s">
        <v>35</v>
      </c>
      <c r="J411" t="s">
        <v>36</v>
      </c>
      <c r="K411">
        <v>2</v>
      </c>
      <c r="L411" s="3">
        <v>450000</v>
      </c>
      <c r="M411" s="3">
        <v>367500</v>
      </c>
      <c r="N411">
        <v>0.15</v>
      </c>
      <c r="O411" t="s">
        <v>57</v>
      </c>
      <c r="P411" t="s">
        <v>48</v>
      </c>
      <c r="Q411" s="3">
        <f>Table13[[#This Row],[Quantity]]*Table13[[#This Row],[UnitPrice_NGN]]</f>
        <v>900000</v>
      </c>
      <c r="R411" s="9">
        <f>Table13[[#This Row],[GrossRevenue]]*(1-Table13[[#This Row],[DiscountRate]])</f>
        <v>765000</v>
      </c>
      <c r="S411" s="3">
        <f>Table13[[#This Row],[Quantity]]*Table13[[#This Row],[UnitCost_NGN]]</f>
        <v>735000</v>
      </c>
      <c r="T411" s="3">
        <f>Table13[[#This Row],[NetRevenue]]-Table13[[#This Row],[TotalCost]]</f>
        <v>30000</v>
      </c>
      <c r="U411" s="3"/>
    </row>
    <row r="412" spans="1:21" x14ac:dyDescent="0.25">
      <c r="A412" t="s">
        <v>759</v>
      </c>
      <c r="B412" s="20">
        <v>45915</v>
      </c>
      <c r="C412" t="s">
        <v>30</v>
      </c>
      <c r="D412" t="s">
        <v>110</v>
      </c>
      <c r="E412" t="s">
        <v>111</v>
      </c>
      <c r="F412" t="s">
        <v>85</v>
      </c>
      <c r="G412" t="s">
        <v>44</v>
      </c>
      <c r="H412" t="s">
        <v>23</v>
      </c>
      <c r="I412" t="s">
        <v>75</v>
      </c>
      <c r="J412" t="s">
        <v>36</v>
      </c>
      <c r="K412">
        <v>3</v>
      </c>
      <c r="L412" s="3">
        <v>162000</v>
      </c>
      <c r="M412" s="3">
        <v>136500</v>
      </c>
      <c r="N412">
        <v>0</v>
      </c>
      <c r="O412" t="s">
        <v>90</v>
      </c>
      <c r="P412" t="s">
        <v>48</v>
      </c>
      <c r="Q412" s="3">
        <f>Table13[[#This Row],[Quantity]]*Table13[[#This Row],[UnitPrice_NGN]]</f>
        <v>486000</v>
      </c>
      <c r="R412" s="9">
        <f>Table13[[#This Row],[GrossRevenue]]*(1-Table13[[#This Row],[DiscountRate]])</f>
        <v>486000</v>
      </c>
      <c r="S412" s="3">
        <f>Table13[[#This Row],[Quantity]]*Table13[[#This Row],[UnitCost_NGN]]</f>
        <v>409500</v>
      </c>
      <c r="T412" s="3">
        <f>Table13[[#This Row],[NetRevenue]]-Table13[[#This Row],[TotalCost]]</f>
        <v>76500</v>
      </c>
      <c r="U412" s="3"/>
    </row>
    <row r="413" spans="1:21" x14ac:dyDescent="0.25">
      <c r="A413" t="s">
        <v>760</v>
      </c>
      <c r="B413" s="20">
        <v>45905</v>
      </c>
      <c r="C413" t="s">
        <v>18</v>
      </c>
      <c r="D413" t="s">
        <v>157</v>
      </c>
      <c r="E413" t="s">
        <v>158</v>
      </c>
      <c r="F413" t="s">
        <v>21</v>
      </c>
      <c r="G413" t="s">
        <v>44</v>
      </c>
      <c r="H413" t="s">
        <v>112</v>
      </c>
      <c r="I413" t="s">
        <v>93</v>
      </c>
      <c r="J413" t="s">
        <v>761</v>
      </c>
      <c r="K413">
        <v>3</v>
      </c>
      <c r="L413" s="3">
        <v>90250</v>
      </c>
      <c r="M413" s="3">
        <v>82000</v>
      </c>
      <c r="N413">
        <v>0.15</v>
      </c>
      <c r="O413" t="s">
        <v>64</v>
      </c>
      <c r="P413" t="s">
        <v>48</v>
      </c>
      <c r="Q413" s="3">
        <f>Table13[[#This Row],[Quantity]]*Table13[[#This Row],[UnitPrice_NGN]]</f>
        <v>270750</v>
      </c>
      <c r="R413" s="9">
        <f>Table13[[#This Row],[GrossRevenue]]*(1-Table13[[#This Row],[DiscountRate]])</f>
        <v>230137.5</v>
      </c>
      <c r="S413" s="3">
        <f>Table13[[#This Row],[Quantity]]*Table13[[#This Row],[UnitCost_NGN]]</f>
        <v>246000</v>
      </c>
      <c r="T413" s="3">
        <f>Table13[[#This Row],[NetRevenue]]-Table13[[#This Row],[TotalCost]]</f>
        <v>-15862.5</v>
      </c>
      <c r="U413" s="3"/>
    </row>
    <row r="414" spans="1:21" x14ac:dyDescent="0.25">
      <c r="A414" t="s">
        <v>762</v>
      </c>
      <c r="B414" s="20">
        <v>45842</v>
      </c>
      <c r="C414" t="s">
        <v>40</v>
      </c>
      <c r="D414" t="s">
        <v>41</v>
      </c>
      <c r="E414" t="s">
        <v>42</v>
      </c>
      <c r="F414" t="s">
        <v>43</v>
      </c>
      <c r="G414" t="s">
        <v>33</v>
      </c>
      <c r="H414" t="s">
        <v>96</v>
      </c>
      <c r="I414" t="s">
        <v>51</v>
      </c>
      <c r="J414" t="s">
        <v>36</v>
      </c>
      <c r="K414">
        <v>3</v>
      </c>
      <c r="L414" s="3">
        <v>252000</v>
      </c>
      <c r="M414" s="3">
        <v>210000</v>
      </c>
      <c r="N414">
        <v>0.1</v>
      </c>
      <c r="O414" t="s">
        <v>148</v>
      </c>
      <c r="P414" t="s">
        <v>72</v>
      </c>
      <c r="Q414" s="3">
        <f>Table13[[#This Row],[Quantity]]*Table13[[#This Row],[UnitPrice_NGN]]</f>
        <v>756000</v>
      </c>
      <c r="R414" s="9">
        <f>Table13[[#This Row],[GrossRevenue]]*(1-Table13[[#This Row],[DiscountRate]])</f>
        <v>680400</v>
      </c>
      <c r="S414" s="3">
        <f>Table13[[#This Row],[Quantity]]*Table13[[#This Row],[UnitCost_NGN]]</f>
        <v>630000</v>
      </c>
      <c r="T414" s="3">
        <f>Table13[[#This Row],[NetRevenue]]-Table13[[#This Row],[TotalCost]]</f>
        <v>50400</v>
      </c>
      <c r="U414" s="3"/>
    </row>
    <row r="415" spans="1:21" x14ac:dyDescent="0.25">
      <c r="A415" t="s">
        <v>763</v>
      </c>
      <c r="B415" s="20">
        <v>45792</v>
      </c>
      <c r="C415" t="s">
        <v>30</v>
      </c>
      <c r="D415" t="s">
        <v>88</v>
      </c>
      <c r="E415" t="s">
        <v>89</v>
      </c>
      <c r="F415" t="s">
        <v>43</v>
      </c>
      <c r="G415" t="s">
        <v>44</v>
      </c>
      <c r="H415" t="s">
        <v>112</v>
      </c>
      <c r="I415" t="s">
        <v>24</v>
      </c>
      <c r="J415" t="s">
        <v>25</v>
      </c>
      <c r="K415">
        <v>1</v>
      </c>
      <c r="L415" s="3">
        <v>22000</v>
      </c>
      <c r="M415" s="3">
        <v>13000</v>
      </c>
      <c r="N415">
        <v>0.15</v>
      </c>
      <c r="O415" t="s">
        <v>26</v>
      </c>
      <c r="P415" t="s">
        <v>133</v>
      </c>
      <c r="Q415" s="3">
        <f>Table13[[#This Row],[Quantity]]*Table13[[#This Row],[UnitPrice_NGN]]</f>
        <v>22000</v>
      </c>
      <c r="R415" s="9">
        <f>Table13[[#This Row],[GrossRevenue]]*(1-Table13[[#This Row],[DiscountRate]])</f>
        <v>18700</v>
      </c>
      <c r="S415" s="3">
        <f>Table13[[#This Row],[Quantity]]*Table13[[#This Row],[UnitCost_NGN]]</f>
        <v>13000</v>
      </c>
      <c r="T415" s="3">
        <f>Table13[[#This Row],[NetRevenue]]-Table13[[#This Row],[TotalCost]]</f>
        <v>5700</v>
      </c>
      <c r="U415" s="3"/>
    </row>
    <row r="416" spans="1:21" x14ac:dyDescent="0.25">
      <c r="A416" t="s">
        <v>765</v>
      </c>
      <c r="B416" s="20">
        <v>45786</v>
      </c>
      <c r="C416" t="s">
        <v>18</v>
      </c>
      <c r="D416" t="s">
        <v>131</v>
      </c>
      <c r="E416" t="s">
        <v>132</v>
      </c>
      <c r="F416" t="s">
        <v>80</v>
      </c>
      <c r="G416" t="s">
        <v>33</v>
      </c>
      <c r="H416" t="s">
        <v>63</v>
      </c>
      <c r="I416" t="s">
        <v>105</v>
      </c>
      <c r="J416" t="s">
        <v>71</v>
      </c>
      <c r="K416">
        <v>5</v>
      </c>
      <c r="L416" s="3">
        <v>192500</v>
      </c>
      <c r="M416" s="3">
        <v>114000</v>
      </c>
      <c r="N416">
        <v>0.1</v>
      </c>
      <c r="O416" t="s">
        <v>47</v>
      </c>
      <c r="P416" t="s">
        <v>72</v>
      </c>
      <c r="Q416" s="3">
        <f>Table13[[#This Row],[Quantity]]*Table13[[#This Row],[UnitPrice_NGN]]</f>
        <v>962500</v>
      </c>
      <c r="R416" s="9">
        <f>Table13[[#This Row],[GrossRevenue]]*(1-Table13[[#This Row],[DiscountRate]])</f>
        <v>866250</v>
      </c>
      <c r="S416" s="3">
        <f>Table13[[#This Row],[Quantity]]*Table13[[#This Row],[UnitCost_NGN]]</f>
        <v>570000</v>
      </c>
      <c r="T416" s="3">
        <f>Table13[[#This Row],[NetRevenue]]-Table13[[#This Row],[TotalCost]]</f>
        <v>296250</v>
      </c>
      <c r="U416" s="3"/>
    </row>
    <row r="417" spans="1:21" x14ac:dyDescent="0.25">
      <c r="A417" t="s">
        <v>766</v>
      </c>
      <c r="B417" s="20">
        <v>45742</v>
      </c>
      <c r="C417" t="s">
        <v>18</v>
      </c>
      <c r="D417" t="s">
        <v>110</v>
      </c>
      <c r="E417" t="s">
        <v>111</v>
      </c>
      <c r="F417" t="s">
        <v>85</v>
      </c>
      <c r="G417" t="s">
        <v>62</v>
      </c>
      <c r="H417" t="s">
        <v>34</v>
      </c>
      <c r="I417" t="s">
        <v>97</v>
      </c>
      <c r="J417" t="s">
        <v>56</v>
      </c>
      <c r="K417">
        <v>10</v>
      </c>
      <c r="L417" s="3">
        <v>112500</v>
      </c>
      <c r="M417" s="3">
        <v>85000</v>
      </c>
      <c r="N417">
        <v>0.05</v>
      </c>
      <c r="O417" t="s">
        <v>90</v>
      </c>
      <c r="P417" t="s">
        <v>48</v>
      </c>
      <c r="Q417" s="3">
        <f>Table13[[#This Row],[Quantity]]*Table13[[#This Row],[UnitPrice_NGN]]</f>
        <v>1125000</v>
      </c>
      <c r="R417" s="9">
        <f>Table13[[#This Row],[GrossRevenue]]*(1-Table13[[#This Row],[DiscountRate]])</f>
        <v>1068750</v>
      </c>
      <c r="S417" s="3">
        <f>Table13[[#This Row],[Quantity]]*Table13[[#This Row],[UnitCost_NGN]]</f>
        <v>850000</v>
      </c>
      <c r="T417" s="3">
        <f>Table13[[#This Row],[NetRevenue]]-Table13[[#This Row],[TotalCost]]</f>
        <v>218750</v>
      </c>
      <c r="U417" s="3"/>
    </row>
    <row r="418" spans="1:21" x14ac:dyDescent="0.25">
      <c r="A418" t="s">
        <v>767</v>
      </c>
      <c r="B418" s="20">
        <v>45775</v>
      </c>
      <c r="C418" t="s">
        <v>40</v>
      </c>
      <c r="D418" t="s">
        <v>157</v>
      </c>
      <c r="E418" t="s">
        <v>158</v>
      </c>
      <c r="F418" t="s">
        <v>21</v>
      </c>
      <c r="G418" t="s">
        <v>22</v>
      </c>
      <c r="H418" t="s">
        <v>112</v>
      </c>
      <c r="I418" t="s">
        <v>75</v>
      </c>
      <c r="J418" t="s">
        <v>36</v>
      </c>
      <c r="K418">
        <v>3</v>
      </c>
      <c r="L418" s="3">
        <v>189000</v>
      </c>
      <c r="M418" s="3">
        <v>123500</v>
      </c>
      <c r="N418">
        <v>0.15</v>
      </c>
      <c r="O418" t="s">
        <v>37</v>
      </c>
      <c r="P418" t="s">
        <v>72</v>
      </c>
      <c r="Q418" s="3">
        <f>Table13[[#This Row],[Quantity]]*Table13[[#This Row],[UnitPrice_NGN]]</f>
        <v>567000</v>
      </c>
      <c r="R418" s="9">
        <f>Table13[[#This Row],[GrossRevenue]]*(1-Table13[[#This Row],[DiscountRate]])</f>
        <v>481950</v>
      </c>
      <c r="S418" s="3">
        <f>Table13[[#This Row],[Quantity]]*Table13[[#This Row],[UnitCost_NGN]]</f>
        <v>370500</v>
      </c>
      <c r="T418" s="3">
        <f>Table13[[#This Row],[NetRevenue]]-Table13[[#This Row],[TotalCost]]</f>
        <v>111450</v>
      </c>
      <c r="U418" s="3"/>
    </row>
    <row r="419" spans="1:21" x14ac:dyDescent="0.25">
      <c r="A419" t="s">
        <v>768</v>
      </c>
      <c r="B419" s="20">
        <v>45782</v>
      </c>
      <c r="C419" t="s">
        <v>18</v>
      </c>
      <c r="D419" t="s">
        <v>60</v>
      </c>
      <c r="E419" t="s">
        <v>61</v>
      </c>
      <c r="F419" t="s">
        <v>43</v>
      </c>
      <c r="G419" t="s">
        <v>44</v>
      </c>
      <c r="H419" t="s">
        <v>34</v>
      </c>
      <c r="I419" t="s">
        <v>97</v>
      </c>
      <c r="J419" t="s">
        <v>56</v>
      </c>
      <c r="K419">
        <v>4</v>
      </c>
      <c r="L419" s="3">
        <v>131250</v>
      </c>
      <c r="M419" s="3">
        <v>89250</v>
      </c>
      <c r="N419">
        <v>0</v>
      </c>
      <c r="O419" t="s">
        <v>148</v>
      </c>
      <c r="P419" t="s">
        <v>48</v>
      </c>
      <c r="Q419" s="3">
        <f>Table13[[#This Row],[Quantity]]*Table13[[#This Row],[UnitPrice_NGN]]</f>
        <v>525000</v>
      </c>
      <c r="R419" s="9">
        <f>Table13[[#This Row],[GrossRevenue]]*(1-Table13[[#This Row],[DiscountRate]])</f>
        <v>525000</v>
      </c>
      <c r="S419" s="3">
        <f>Table13[[#This Row],[Quantity]]*Table13[[#This Row],[UnitCost_NGN]]</f>
        <v>357000</v>
      </c>
      <c r="T419" s="3">
        <f>Table13[[#This Row],[NetRevenue]]-Table13[[#This Row],[TotalCost]]</f>
        <v>168000</v>
      </c>
      <c r="U419" s="3"/>
    </row>
    <row r="420" spans="1:21" x14ac:dyDescent="0.25">
      <c r="A420" t="s">
        <v>769</v>
      </c>
      <c r="B420" s="20">
        <v>45865</v>
      </c>
      <c r="C420" t="s">
        <v>30</v>
      </c>
      <c r="D420" t="s">
        <v>157</v>
      </c>
      <c r="E420" t="s">
        <v>158</v>
      </c>
      <c r="F420" t="s">
        <v>21</v>
      </c>
      <c r="G420" t="s">
        <v>22</v>
      </c>
      <c r="H420" t="s">
        <v>63</v>
      </c>
      <c r="I420" t="s">
        <v>45</v>
      </c>
      <c r="J420" t="s">
        <v>46</v>
      </c>
      <c r="K420">
        <v>1</v>
      </c>
      <c r="L420" s="3">
        <v>18500</v>
      </c>
      <c r="M420" s="3">
        <v>14500</v>
      </c>
      <c r="N420">
        <v>0.1</v>
      </c>
      <c r="O420" t="s">
        <v>52</v>
      </c>
      <c r="P420" t="s">
        <v>133</v>
      </c>
      <c r="Q420" s="3">
        <f>Table13[[#This Row],[Quantity]]*Table13[[#This Row],[UnitPrice_NGN]]</f>
        <v>18500</v>
      </c>
      <c r="R420" s="9">
        <f>Table13[[#This Row],[GrossRevenue]]*(1-Table13[[#This Row],[DiscountRate]])</f>
        <v>16650</v>
      </c>
      <c r="S420" s="3">
        <f>Table13[[#This Row],[Quantity]]*Table13[[#This Row],[UnitCost_NGN]]</f>
        <v>14500</v>
      </c>
      <c r="T420" s="3">
        <f>Table13[[#This Row],[NetRevenue]]-Table13[[#This Row],[TotalCost]]</f>
        <v>2150</v>
      </c>
      <c r="U420" s="3"/>
    </row>
    <row r="421" spans="1:21" x14ac:dyDescent="0.25">
      <c r="A421" t="s">
        <v>770</v>
      </c>
      <c r="B421" s="20">
        <v>45770</v>
      </c>
      <c r="C421" t="s">
        <v>30</v>
      </c>
      <c r="D421" t="s">
        <v>110</v>
      </c>
      <c r="E421" t="s">
        <v>111</v>
      </c>
      <c r="F421" t="s">
        <v>85</v>
      </c>
      <c r="G421" t="s">
        <v>44</v>
      </c>
      <c r="H421" t="s">
        <v>23</v>
      </c>
      <c r="I421" t="s">
        <v>113</v>
      </c>
      <c r="J421" t="s">
        <v>36</v>
      </c>
      <c r="K421">
        <v>4</v>
      </c>
      <c r="L421" s="3">
        <v>160000</v>
      </c>
      <c r="M421" s="3">
        <v>120750</v>
      </c>
      <c r="N421">
        <v>0</v>
      </c>
      <c r="O421" t="s">
        <v>90</v>
      </c>
      <c r="P421" t="s">
        <v>72</v>
      </c>
      <c r="Q421" s="3">
        <f>Table13[[#This Row],[Quantity]]*Table13[[#This Row],[UnitPrice_NGN]]</f>
        <v>640000</v>
      </c>
      <c r="R421" s="9">
        <f>Table13[[#This Row],[GrossRevenue]]*(1-Table13[[#This Row],[DiscountRate]])</f>
        <v>640000</v>
      </c>
      <c r="S421" s="3">
        <f>Table13[[#This Row],[Quantity]]*Table13[[#This Row],[UnitCost_NGN]]</f>
        <v>483000</v>
      </c>
      <c r="T421" s="3">
        <f>Table13[[#This Row],[NetRevenue]]-Table13[[#This Row],[TotalCost]]</f>
        <v>157000</v>
      </c>
      <c r="U421" s="3"/>
    </row>
    <row r="422" spans="1:21" x14ac:dyDescent="0.25">
      <c r="A422" t="s">
        <v>771</v>
      </c>
      <c r="B422" s="20">
        <v>45963</v>
      </c>
      <c r="C422" t="s">
        <v>18</v>
      </c>
      <c r="D422" t="s">
        <v>120</v>
      </c>
      <c r="E422" t="s">
        <v>121</v>
      </c>
      <c r="F422" t="s">
        <v>122</v>
      </c>
      <c r="G422" t="s">
        <v>44</v>
      </c>
      <c r="H422" t="s">
        <v>112</v>
      </c>
      <c r="I422" t="s">
        <v>45</v>
      </c>
      <c r="J422" t="s">
        <v>46</v>
      </c>
      <c r="K422">
        <v>3</v>
      </c>
      <c r="L422" s="3">
        <v>17575</v>
      </c>
      <c r="M422" s="3">
        <v>14500</v>
      </c>
      <c r="N422">
        <v>0.05</v>
      </c>
      <c r="O422" t="s">
        <v>26</v>
      </c>
      <c r="P422" t="s">
        <v>133</v>
      </c>
      <c r="Q422" s="3">
        <f>Table13[[#This Row],[Quantity]]*Table13[[#This Row],[UnitPrice_NGN]]</f>
        <v>52725</v>
      </c>
      <c r="R422" s="9">
        <f>Table13[[#This Row],[GrossRevenue]]*(1-Table13[[#This Row],[DiscountRate]])</f>
        <v>50088.75</v>
      </c>
      <c r="S422" s="3">
        <f>Table13[[#This Row],[Quantity]]*Table13[[#This Row],[UnitCost_NGN]]</f>
        <v>43500</v>
      </c>
      <c r="T422" s="3">
        <f>Table13[[#This Row],[NetRevenue]]-Table13[[#This Row],[TotalCost]]</f>
        <v>6588.75</v>
      </c>
      <c r="U422" s="3"/>
    </row>
    <row r="423" spans="1:21" x14ac:dyDescent="0.25">
      <c r="A423" t="s">
        <v>772</v>
      </c>
      <c r="B423" s="20">
        <v>45968</v>
      </c>
      <c r="C423" t="s">
        <v>18</v>
      </c>
      <c r="D423" t="s">
        <v>19</v>
      </c>
      <c r="E423" t="s">
        <v>20</v>
      </c>
      <c r="F423" t="s">
        <v>21</v>
      </c>
      <c r="G423" t="s">
        <v>33</v>
      </c>
      <c r="H423" t="s">
        <v>23</v>
      </c>
      <c r="I423" t="s">
        <v>75</v>
      </c>
      <c r="J423" t="s">
        <v>36</v>
      </c>
      <c r="K423">
        <v>1</v>
      </c>
      <c r="L423" s="3">
        <v>180000</v>
      </c>
      <c r="M423" s="3">
        <v>136500</v>
      </c>
      <c r="N423">
        <v>0</v>
      </c>
      <c r="O423" t="s">
        <v>148</v>
      </c>
      <c r="P423" t="s">
        <v>48</v>
      </c>
      <c r="Q423" s="3">
        <f>Table13[[#This Row],[Quantity]]*Table13[[#This Row],[UnitPrice_NGN]]</f>
        <v>180000</v>
      </c>
      <c r="R423" s="9">
        <f>Table13[[#This Row],[GrossRevenue]]*(1-Table13[[#This Row],[DiscountRate]])</f>
        <v>180000</v>
      </c>
      <c r="S423" s="3">
        <f>Table13[[#This Row],[Quantity]]*Table13[[#This Row],[UnitCost_NGN]]</f>
        <v>136500</v>
      </c>
      <c r="T423" s="3">
        <f>Table13[[#This Row],[NetRevenue]]-Table13[[#This Row],[TotalCost]]</f>
        <v>43500</v>
      </c>
      <c r="U423" s="3"/>
    </row>
    <row r="424" spans="1:21" x14ac:dyDescent="0.25">
      <c r="A424" t="s">
        <v>773</v>
      </c>
      <c r="B424" s="20">
        <v>45724</v>
      </c>
      <c r="C424" t="s">
        <v>30</v>
      </c>
      <c r="D424" t="s">
        <v>78</v>
      </c>
      <c r="E424" t="s">
        <v>79</v>
      </c>
      <c r="F424" t="s">
        <v>80</v>
      </c>
      <c r="G424" t="s">
        <v>22</v>
      </c>
      <c r="H424" t="s">
        <v>112</v>
      </c>
      <c r="I424" t="s">
        <v>93</v>
      </c>
      <c r="J424" t="s">
        <v>46</v>
      </c>
      <c r="K424">
        <v>6</v>
      </c>
      <c r="L424" s="3">
        <v>85500</v>
      </c>
      <c r="M424" s="3">
        <v>86100</v>
      </c>
      <c r="N424">
        <v>0.15</v>
      </c>
      <c r="O424" t="s">
        <v>26</v>
      </c>
      <c r="P424" t="s">
        <v>133</v>
      </c>
      <c r="Q424" s="3">
        <f>Table13[[#This Row],[Quantity]]*Table13[[#This Row],[UnitPrice_NGN]]</f>
        <v>513000</v>
      </c>
      <c r="R424" s="9">
        <f>Table13[[#This Row],[GrossRevenue]]*(1-Table13[[#This Row],[DiscountRate]])</f>
        <v>436050</v>
      </c>
      <c r="S424" s="3">
        <f>Table13[[#This Row],[Quantity]]*Table13[[#This Row],[UnitCost_NGN]]</f>
        <v>516600</v>
      </c>
      <c r="T424" s="3">
        <f>Table13[[#This Row],[NetRevenue]]-Table13[[#This Row],[TotalCost]]</f>
        <v>-80550</v>
      </c>
      <c r="U424" s="3"/>
    </row>
    <row r="425" spans="1:21" x14ac:dyDescent="0.25">
      <c r="A425" t="s">
        <v>774</v>
      </c>
      <c r="B425" s="20">
        <v>45853</v>
      </c>
      <c r="C425" t="s">
        <v>30</v>
      </c>
      <c r="D425" t="s">
        <v>31</v>
      </c>
      <c r="E425" t="s">
        <v>32</v>
      </c>
      <c r="F425" t="s">
        <v>21</v>
      </c>
      <c r="G425" t="s">
        <v>22</v>
      </c>
      <c r="H425" t="s">
        <v>112</v>
      </c>
      <c r="I425" t="s">
        <v>105</v>
      </c>
      <c r="J425" t="s">
        <v>71</v>
      </c>
      <c r="K425">
        <v>5</v>
      </c>
      <c r="L425" s="3">
        <v>175000</v>
      </c>
      <c r="M425" s="3">
        <v>120000</v>
      </c>
      <c r="N425">
        <v>0.05</v>
      </c>
      <c r="O425" t="s">
        <v>90</v>
      </c>
      <c r="P425" t="s">
        <v>48</v>
      </c>
      <c r="Q425" s="3">
        <f>Table13[[#This Row],[Quantity]]*Table13[[#This Row],[UnitPrice_NGN]]</f>
        <v>875000</v>
      </c>
      <c r="R425" s="9">
        <f>Table13[[#This Row],[GrossRevenue]]*(1-Table13[[#This Row],[DiscountRate]])</f>
        <v>831250</v>
      </c>
      <c r="S425" s="3">
        <f>Table13[[#This Row],[Quantity]]*Table13[[#This Row],[UnitCost_NGN]]</f>
        <v>600000</v>
      </c>
      <c r="T425" s="3">
        <f>Table13[[#This Row],[NetRevenue]]-Table13[[#This Row],[TotalCost]]</f>
        <v>231250</v>
      </c>
      <c r="U425" s="3"/>
    </row>
    <row r="426" spans="1:21" x14ac:dyDescent="0.25">
      <c r="A426" t="s">
        <v>775</v>
      </c>
      <c r="B426" s="20">
        <v>45964</v>
      </c>
      <c r="C426" t="s">
        <v>40</v>
      </c>
      <c r="D426" t="s">
        <v>110</v>
      </c>
      <c r="E426" t="s">
        <v>111</v>
      </c>
      <c r="F426" t="s">
        <v>85</v>
      </c>
      <c r="G426" t="s">
        <v>62</v>
      </c>
      <c r="H426" t="s">
        <v>34</v>
      </c>
      <c r="I426" t="s">
        <v>70</v>
      </c>
      <c r="J426" t="s">
        <v>71</v>
      </c>
      <c r="K426">
        <v>6</v>
      </c>
      <c r="L426" s="3">
        <v>104500</v>
      </c>
      <c r="M426" s="3">
        <v>58900</v>
      </c>
      <c r="N426">
        <v>0</v>
      </c>
      <c r="O426" t="s">
        <v>148</v>
      </c>
      <c r="P426" t="s">
        <v>133</v>
      </c>
      <c r="Q426" s="3">
        <f>Table13[[#This Row],[Quantity]]*Table13[[#This Row],[UnitPrice_NGN]]</f>
        <v>627000</v>
      </c>
      <c r="R426" s="9">
        <f>Table13[[#This Row],[GrossRevenue]]*(1-Table13[[#This Row],[DiscountRate]])</f>
        <v>627000</v>
      </c>
      <c r="S426" s="3">
        <f>Table13[[#This Row],[Quantity]]*Table13[[#This Row],[UnitCost_NGN]]</f>
        <v>353400</v>
      </c>
      <c r="T426" s="3">
        <f>Table13[[#This Row],[NetRevenue]]-Table13[[#This Row],[TotalCost]]</f>
        <v>273600</v>
      </c>
      <c r="U426" s="3"/>
    </row>
    <row r="427" spans="1:21" x14ac:dyDescent="0.25">
      <c r="A427" t="s">
        <v>777</v>
      </c>
      <c r="B427" s="20">
        <v>45661</v>
      </c>
      <c r="C427" t="s">
        <v>30</v>
      </c>
      <c r="D427" t="s">
        <v>136</v>
      </c>
      <c r="E427" t="s">
        <v>137</v>
      </c>
      <c r="F427" t="s">
        <v>122</v>
      </c>
      <c r="G427" t="s">
        <v>44</v>
      </c>
      <c r="H427" t="s">
        <v>63</v>
      </c>
      <c r="I427" t="s">
        <v>102</v>
      </c>
      <c r="J427" t="s">
        <v>25</v>
      </c>
      <c r="K427">
        <v>6</v>
      </c>
      <c r="L427" s="3">
        <v>42000</v>
      </c>
      <c r="M427" s="3">
        <v>24700</v>
      </c>
      <c r="N427">
        <v>0.1</v>
      </c>
      <c r="O427" t="s">
        <v>26</v>
      </c>
      <c r="P427" t="s">
        <v>72</v>
      </c>
      <c r="Q427" s="3">
        <f>Table13[[#This Row],[Quantity]]*Table13[[#This Row],[UnitPrice_NGN]]</f>
        <v>252000</v>
      </c>
      <c r="R427" s="9">
        <f>Table13[[#This Row],[GrossRevenue]]*(1-Table13[[#This Row],[DiscountRate]])</f>
        <v>226800</v>
      </c>
      <c r="S427" s="3">
        <f>Table13[[#This Row],[Quantity]]*Table13[[#This Row],[UnitCost_NGN]]</f>
        <v>148200</v>
      </c>
      <c r="T427" s="3">
        <f>Table13[[#This Row],[NetRevenue]]-Table13[[#This Row],[TotalCost]]</f>
        <v>78600</v>
      </c>
      <c r="U427" s="3"/>
    </row>
    <row r="428" spans="1:21" x14ac:dyDescent="0.25">
      <c r="A428" t="s">
        <v>779</v>
      </c>
      <c r="B428" s="20">
        <v>45932</v>
      </c>
      <c r="C428" t="s">
        <v>30</v>
      </c>
      <c r="D428" t="s">
        <v>19</v>
      </c>
      <c r="E428" t="s">
        <v>20</v>
      </c>
      <c r="F428" t="s">
        <v>21</v>
      </c>
      <c r="G428" t="s">
        <v>62</v>
      </c>
      <c r="H428" t="s">
        <v>23</v>
      </c>
      <c r="I428" t="s">
        <v>105</v>
      </c>
      <c r="J428" t="s">
        <v>71</v>
      </c>
      <c r="K428">
        <v>1</v>
      </c>
      <c r="L428" s="3">
        <v>183750</v>
      </c>
      <c r="M428" s="3">
        <v>120000</v>
      </c>
      <c r="N428">
        <v>0</v>
      </c>
      <c r="O428" t="s">
        <v>57</v>
      </c>
      <c r="P428" t="s">
        <v>72</v>
      </c>
      <c r="Q428" s="3">
        <f>Table13[[#This Row],[Quantity]]*Table13[[#This Row],[UnitPrice_NGN]]</f>
        <v>183750</v>
      </c>
      <c r="R428" s="9">
        <f>Table13[[#This Row],[GrossRevenue]]*(1-Table13[[#This Row],[DiscountRate]])</f>
        <v>183750</v>
      </c>
      <c r="S428" s="3">
        <f>Table13[[#This Row],[Quantity]]*Table13[[#This Row],[UnitCost_NGN]]</f>
        <v>120000</v>
      </c>
      <c r="T428" s="3">
        <f>Table13[[#This Row],[NetRevenue]]-Table13[[#This Row],[TotalCost]]</f>
        <v>63750</v>
      </c>
      <c r="U428" s="3"/>
    </row>
    <row r="429" spans="1:21" x14ac:dyDescent="0.25">
      <c r="A429" t="s">
        <v>780</v>
      </c>
      <c r="B429" s="20">
        <v>45847</v>
      </c>
      <c r="C429" t="s">
        <v>30</v>
      </c>
      <c r="D429" t="s">
        <v>83</v>
      </c>
      <c r="E429" t="s">
        <v>84</v>
      </c>
      <c r="F429" t="s">
        <v>85</v>
      </c>
      <c r="G429" t="s">
        <v>33</v>
      </c>
      <c r="H429" t="s">
        <v>63</v>
      </c>
      <c r="I429" t="s">
        <v>24</v>
      </c>
      <c r="J429" t="s">
        <v>25</v>
      </c>
      <c r="K429">
        <v>6</v>
      </c>
      <c r="L429" s="3">
        <v>22000</v>
      </c>
      <c r="M429" s="3">
        <v>13650</v>
      </c>
      <c r="N429">
        <v>0</v>
      </c>
      <c r="O429" t="s">
        <v>57</v>
      </c>
      <c r="P429" t="s">
        <v>133</v>
      </c>
      <c r="Q429" s="3">
        <f>Table13[[#This Row],[Quantity]]*Table13[[#This Row],[UnitPrice_NGN]]</f>
        <v>132000</v>
      </c>
      <c r="R429" s="9">
        <f>Table13[[#This Row],[GrossRevenue]]*(1-Table13[[#This Row],[DiscountRate]])</f>
        <v>132000</v>
      </c>
      <c r="S429" s="3">
        <f>Table13[[#This Row],[Quantity]]*Table13[[#This Row],[UnitCost_NGN]]</f>
        <v>81900</v>
      </c>
      <c r="T429" s="3">
        <f>Table13[[#This Row],[NetRevenue]]-Table13[[#This Row],[TotalCost]]</f>
        <v>50100</v>
      </c>
      <c r="U429" s="3"/>
    </row>
    <row r="430" spans="1:21" x14ac:dyDescent="0.25">
      <c r="A430" t="s">
        <v>782</v>
      </c>
      <c r="B430" s="20">
        <v>45718</v>
      </c>
      <c r="C430" t="s">
        <v>18</v>
      </c>
      <c r="D430" t="s">
        <v>88</v>
      </c>
      <c r="E430" t="s">
        <v>89</v>
      </c>
      <c r="F430" t="s">
        <v>43</v>
      </c>
      <c r="G430" t="s">
        <v>33</v>
      </c>
      <c r="H430" t="s">
        <v>34</v>
      </c>
      <c r="I430" t="s">
        <v>45</v>
      </c>
      <c r="J430" t="s">
        <v>46</v>
      </c>
      <c r="K430">
        <v>6</v>
      </c>
      <c r="L430" s="3">
        <v>18500</v>
      </c>
      <c r="M430" s="3">
        <v>14500</v>
      </c>
      <c r="N430">
        <v>0.15</v>
      </c>
      <c r="O430" t="s">
        <v>52</v>
      </c>
      <c r="P430" t="s">
        <v>27</v>
      </c>
      <c r="Q430" s="3">
        <f>Table13[[#This Row],[Quantity]]*Table13[[#This Row],[UnitPrice_NGN]]</f>
        <v>111000</v>
      </c>
      <c r="R430" s="9">
        <f>Table13[[#This Row],[GrossRevenue]]*(1-Table13[[#This Row],[DiscountRate]])</f>
        <v>94350</v>
      </c>
      <c r="S430" s="3">
        <f>Table13[[#This Row],[Quantity]]*Table13[[#This Row],[UnitCost_NGN]]</f>
        <v>87000</v>
      </c>
      <c r="T430" s="3">
        <f>Table13[[#This Row],[NetRevenue]]-Table13[[#This Row],[TotalCost]]</f>
        <v>7350</v>
      </c>
      <c r="U430" s="3"/>
    </row>
    <row r="431" spans="1:21" x14ac:dyDescent="0.25">
      <c r="A431" t="s">
        <v>783</v>
      </c>
      <c r="B431" s="20">
        <v>45857</v>
      </c>
      <c r="C431" t="s">
        <v>18</v>
      </c>
      <c r="D431" t="s">
        <v>78</v>
      </c>
      <c r="E431" t="s">
        <v>79</v>
      </c>
      <c r="F431" t="s">
        <v>80</v>
      </c>
      <c r="G431" t="s">
        <v>22</v>
      </c>
      <c r="H431" t="s">
        <v>34</v>
      </c>
      <c r="I431" t="s">
        <v>113</v>
      </c>
      <c r="J431" t="s">
        <v>36</v>
      </c>
      <c r="K431">
        <v>3</v>
      </c>
      <c r="L431" s="3">
        <v>160000</v>
      </c>
      <c r="M431" s="3">
        <v>109250</v>
      </c>
      <c r="N431">
        <v>0</v>
      </c>
      <c r="O431" t="s">
        <v>37</v>
      </c>
      <c r="P431" t="s">
        <v>27</v>
      </c>
      <c r="Q431" s="3">
        <f>Table13[[#This Row],[Quantity]]*Table13[[#This Row],[UnitPrice_NGN]]</f>
        <v>480000</v>
      </c>
      <c r="R431" s="9">
        <f>Table13[[#This Row],[GrossRevenue]]*(1-Table13[[#This Row],[DiscountRate]])</f>
        <v>480000</v>
      </c>
      <c r="S431" s="3">
        <f>Table13[[#This Row],[Quantity]]*Table13[[#This Row],[UnitCost_NGN]]</f>
        <v>327750</v>
      </c>
      <c r="T431" s="3">
        <f>Table13[[#This Row],[NetRevenue]]-Table13[[#This Row],[TotalCost]]</f>
        <v>152250</v>
      </c>
      <c r="U431" s="3"/>
    </row>
    <row r="432" spans="1:21" x14ac:dyDescent="0.25">
      <c r="A432" t="s">
        <v>784</v>
      </c>
      <c r="B432" s="20">
        <v>45698</v>
      </c>
      <c r="C432" t="s">
        <v>18</v>
      </c>
      <c r="D432" t="s">
        <v>83</v>
      </c>
      <c r="E432" t="s">
        <v>84</v>
      </c>
      <c r="F432" t="s">
        <v>85</v>
      </c>
      <c r="G432" t="s">
        <v>33</v>
      </c>
      <c r="H432" t="s">
        <v>112</v>
      </c>
      <c r="I432" t="s">
        <v>45</v>
      </c>
      <c r="J432" t="s">
        <v>46</v>
      </c>
      <c r="K432">
        <v>1</v>
      </c>
      <c r="L432" s="3">
        <v>18500</v>
      </c>
      <c r="M432" s="3">
        <v>14500</v>
      </c>
      <c r="N432">
        <v>0</v>
      </c>
      <c r="O432" t="s">
        <v>57</v>
      </c>
      <c r="P432" t="s">
        <v>133</v>
      </c>
      <c r="Q432" s="3">
        <f>Table13[[#This Row],[Quantity]]*Table13[[#This Row],[UnitPrice_NGN]]</f>
        <v>18500</v>
      </c>
      <c r="R432" s="9">
        <f>Table13[[#This Row],[GrossRevenue]]*(1-Table13[[#This Row],[DiscountRate]])</f>
        <v>18500</v>
      </c>
      <c r="S432" s="3">
        <f>Table13[[#This Row],[Quantity]]*Table13[[#This Row],[UnitCost_NGN]]</f>
        <v>14500</v>
      </c>
      <c r="T432" s="3">
        <f>Table13[[#This Row],[NetRevenue]]-Table13[[#This Row],[TotalCost]]</f>
        <v>4000</v>
      </c>
      <c r="U432" s="3"/>
    </row>
    <row r="433" spans="1:21" x14ac:dyDescent="0.25">
      <c r="A433" t="s">
        <v>786</v>
      </c>
      <c r="B433" s="20">
        <v>45911</v>
      </c>
      <c r="C433" t="s">
        <v>18</v>
      </c>
      <c r="D433" t="s">
        <v>131</v>
      </c>
      <c r="E433" t="s">
        <v>132</v>
      </c>
      <c r="F433" t="s">
        <v>80</v>
      </c>
      <c r="G433" t="s">
        <v>44</v>
      </c>
      <c r="H433" t="s">
        <v>23</v>
      </c>
      <c r="I433" t="s">
        <v>102</v>
      </c>
      <c r="J433" t="s">
        <v>25</v>
      </c>
      <c r="K433">
        <v>1</v>
      </c>
      <c r="L433" s="3">
        <v>46200</v>
      </c>
      <c r="M433" s="3">
        <v>26000</v>
      </c>
      <c r="N433">
        <v>0.15</v>
      </c>
      <c r="O433" t="s">
        <v>57</v>
      </c>
      <c r="P433" t="s">
        <v>72</v>
      </c>
      <c r="Q433" s="3">
        <f>Table13[[#This Row],[Quantity]]*Table13[[#This Row],[UnitPrice_NGN]]</f>
        <v>46200</v>
      </c>
      <c r="R433" s="9">
        <f>Table13[[#This Row],[GrossRevenue]]*(1-Table13[[#This Row],[DiscountRate]])</f>
        <v>39270</v>
      </c>
      <c r="S433" s="3">
        <f>Table13[[#This Row],[Quantity]]*Table13[[#This Row],[UnitCost_NGN]]</f>
        <v>26000</v>
      </c>
      <c r="T433" s="3">
        <f>Table13[[#This Row],[NetRevenue]]-Table13[[#This Row],[TotalCost]]</f>
        <v>13270</v>
      </c>
      <c r="U433" s="3"/>
    </row>
    <row r="434" spans="1:21" x14ac:dyDescent="0.25">
      <c r="A434" t="s">
        <v>787</v>
      </c>
      <c r="B434" s="20">
        <v>45744</v>
      </c>
      <c r="C434" t="s">
        <v>18</v>
      </c>
      <c r="D434" t="s">
        <v>31</v>
      </c>
      <c r="E434" t="s">
        <v>32</v>
      </c>
      <c r="F434" t="s">
        <v>21</v>
      </c>
      <c r="G434" t="s">
        <v>62</v>
      </c>
      <c r="H434" t="s">
        <v>34</v>
      </c>
      <c r="I434" t="s">
        <v>113</v>
      </c>
      <c r="J434" t="s">
        <v>36</v>
      </c>
      <c r="K434">
        <v>6</v>
      </c>
      <c r="L434" s="3">
        <v>160000</v>
      </c>
      <c r="M434" s="3">
        <v>115000</v>
      </c>
      <c r="N434">
        <v>0.1</v>
      </c>
      <c r="O434" t="s">
        <v>148</v>
      </c>
      <c r="P434" t="s">
        <v>27</v>
      </c>
      <c r="Q434" s="3">
        <f>Table13[[#This Row],[Quantity]]*Table13[[#This Row],[UnitPrice_NGN]]</f>
        <v>960000</v>
      </c>
      <c r="R434" s="9">
        <f>Table13[[#This Row],[GrossRevenue]]*(1-Table13[[#This Row],[DiscountRate]])</f>
        <v>864000</v>
      </c>
      <c r="S434" s="3">
        <f>Table13[[#This Row],[Quantity]]*Table13[[#This Row],[UnitCost_NGN]]</f>
        <v>690000</v>
      </c>
      <c r="T434" s="3">
        <f>Table13[[#This Row],[NetRevenue]]-Table13[[#This Row],[TotalCost]]</f>
        <v>174000</v>
      </c>
      <c r="U434" s="3"/>
    </row>
    <row r="435" spans="1:21" x14ac:dyDescent="0.25">
      <c r="A435" t="s">
        <v>789</v>
      </c>
      <c r="B435" s="20">
        <v>46000</v>
      </c>
      <c r="C435" t="s">
        <v>40</v>
      </c>
      <c r="D435" t="s">
        <v>19</v>
      </c>
      <c r="E435" t="s">
        <v>20</v>
      </c>
      <c r="F435" t="s">
        <v>21</v>
      </c>
      <c r="G435" t="s">
        <v>44</v>
      </c>
      <c r="H435" t="s">
        <v>23</v>
      </c>
      <c r="I435" t="s">
        <v>75</v>
      </c>
      <c r="J435" t="s">
        <v>36</v>
      </c>
      <c r="K435">
        <v>15</v>
      </c>
      <c r="L435" s="3">
        <v>198000</v>
      </c>
      <c r="M435" s="3">
        <v>136500</v>
      </c>
      <c r="N435">
        <v>0</v>
      </c>
      <c r="O435" t="s">
        <v>148</v>
      </c>
      <c r="P435" t="s">
        <v>72</v>
      </c>
      <c r="Q435" s="3">
        <f>Table13[[#This Row],[Quantity]]*Table13[[#This Row],[UnitPrice_NGN]]</f>
        <v>2970000</v>
      </c>
      <c r="R435" s="9">
        <f>Table13[[#This Row],[GrossRevenue]]*(1-Table13[[#This Row],[DiscountRate]])</f>
        <v>2970000</v>
      </c>
      <c r="S435" s="3">
        <f>Table13[[#This Row],[Quantity]]*Table13[[#This Row],[UnitCost_NGN]]</f>
        <v>2047500</v>
      </c>
      <c r="T435" s="3">
        <f>Table13[[#This Row],[NetRevenue]]-Table13[[#This Row],[TotalCost]]</f>
        <v>922500</v>
      </c>
      <c r="U435" s="3"/>
    </row>
    <row r="436" spans="1:21" x14ac:dyDescent="0.25">
      <c r="A436" t="s">
        <v>791</v>
      </c>
      <c r="B436" s="20">
        <v>45944</v>
      </c>
      <c r="C436" t="s">
        <v>40</v>
      </c>
      <c r="D436" t="s">
        <v>136</v>
      </c>
      <c r="E436" t="s">
        <v>137</v>
      </c>
      <c r="F436" t="s">
        <v>122</v>
      </c>
      <c r="G436" t="s">
        <v>62</v>
      </c>
      <c r="H436" t="s">
        <v>63</v>
      </c>
      <c r="I436" t="s">
        <v>102</v>
      </c>
      <c r="J436" t="s">
        <v>25</v>
      </c>
      <c r="K436">
        <v>1</v>
      </c>
      <c r="L436" s="3">
        <v>37800</v>
      </c>
      <c r="M436" s="3">
        <v>26000</v>
      </c>
      <c r="N436">
        <v>0.15</v>
      </c>
      <c r="O436" t="s">
        <v>64</v>
      </c>
      <c r="P436" t="s">
        <v>133</v>
      </c>
      <c r="Q436" s="3">
        <f>Table13[[#This Row],[Quantity]]*Table13[[#This Row],[UnitPrice_NGN]]</f>
        <v>37800</v>
      </c>
      <c r="R436" s="9">
        <f>Table13[[#This Row],[GrossRevenue]]*(1-Table13[[#This Row],[DiscountRate]])</f>
        <v>32130</v>
      </c>
      <c r="S436" s="3">
        <f>Table13[[#This Row],[Quantity]]*Table13[[#This Row],[UnitCost_NGN]]</f>
        <v>26000</v>
      </c>
      <c r="T436" s="3">
        <f>Table13[[#This Row],[NetRevenue]]-Table13[[#This Row],[TotalCost]]</f>
        <v>6130</v>
      </c>
      <c r="U436" s="3"/>
    </row>
    <row r="437" spans="1:21" x14ac:dyDescent="0.25">
      <c r="A437" t="s">
        <v>792</v>
      </c>
      <c r="B437" s="20">
        <v>45747</v>
      </c>
      <c r="C437" t="s">
        <v>30</v>
      </c>
      <c r="D437" t="s">
        <v>60</v>
      </c>
      <c r="E437" t="s">
        <v>61</v>
      </c>
      <c r="F437" t="s">
        <v>43</v>
      </c>
      <c r="G437" t="s">
        <v>22</v>
      </c>
      <c r="H437" t="s">
        <v>23</v>
      </c>
      <c r="I437" t="s">
        <v>45</v>
      </c>
      <c r="J437" t="s">
        <v>46</v>
      </c>
      <c r="K437">
        <v>3</v>
      </c>
      <c r="L437" s="3">
        <v>18500</v>
      </c>
      <c r="M437" s="3">
        <v>13775</v>
      </c>
      <c r="N437">
        <v>0</v>
      </c>
      <c r="O437" t="s">
        <v>52</v>
      </c>
      <c r="P437" t="s">
        <v>72</v>
      </c>
      <c r="Q437" s="3">
        <f>Table13[[#This Row],[Quantity]]*Table13[[#This Row],[UnitPrice_NGN]]</f>
        <v>55500</v>
      </c>
      <c r="R437" s="9">
        <f>Table13[[#This Row],[GrossRevenue]]*(1-Table13[[#This Row],[DiscountRate]])</f>
        <v>55500</v>
      </c>
      <c r="S437" s="3">
        <f>Table13[[#This Row],[Quantity]]*Table13[[#This Row],[UnitCost_NGN]]</f>
        <v>41325</v>
      </c>
      <c r="T437" s="3">
        <f>Table13[[#This Row],[NetRevenue]]-Table13[[#This Row],[TotalCost]]</f>
        <v>14175</v>
      </c>
      <c r="U437" s="3"/>
    </row>
    <row r="438" spans="1:21" x14ac:dyDescent="0.25">
      <c r="A438" t="s">
        <v>794</v>
      </c>
      <c r="B438" s="20">
        <v>45952</v>
      </c>
      <c r="C438" t="s">
        <v>30</v>
      </c>
      <c r="D438" t="s">
        <v>41</v>
      </c>
      <c r="E438" t="s">
        <v>42</v>
      </c>
      <c r="F438" t="s">
        <v>43</v>
      </c>
      <c r="G438" t="s">
        <v>33</v>
      </c>
      <c r="H438" t="s">
        <v>112</v>
      </c>
      <c r="I438" t="s">
        <v>93</v>
      </c>
      <c r="J438" t="s">
        <v>46</v>
      </c>
      <c r="K438">
        <v>2</v>
      </c>
      <c r="L438" s="3">
        <v>85500</v>
      </c>
      <c r="M438" s="3">
        <v>82000</v>
      </c>
      <c r="N438">
        <v>0.1</v>
      </c>
      <c r="O438" t="s">
        <v>37</v>
      </c>
      <c r="P438" t="s">
        <v>48</v>
      </c>
      <c r="Q438" s="3">
        <f>Table13[[#This Row],[Quantity]]*Table13[[#This Row],[UnitPrice_NGN]]</f>
        <v>171000</v>
      </c>
      <c r="R438" s="9">
        <f>Table13[[#This Row],[GrossRevenue]]*(1-Table13[[#This Row],[DiscountRate]])</f>
        <v>153900</v>
      </c>
      <c r="S438" s="3">
        <f>Table13[[#This Row],[Quantity]]*Table13[[#This Row],[UnitCost_NGN]]</f>
        <v>164000</v>
      </c>
      <c r="T438" s="3">
        <f>Table13[[#This Row],[NetRevenue]]-Table13[[#This Row],[TotalCost]]</f>
        <v>-10100</v>
      </c>
      <c r="U438" s="3"/>
    </row>
    <row r="439" spans="1:21" x14ac:dyDescent="0.25">
      <c r="A439" t="s">
        <v>795</v>
      </c>
      <c r="B439" s="20">
        <v>45672</v>
      </c>
      <c r="C439" t="s">
        <v>18</v>
      </c>
      <c r="D439" t="s">
        <v>88</v>
      </c>
      <c r="E439" t="s">
        <v>89</v>
      </c>
      <c r="F439" t="s">
        <v>43</v>
      </c>
      <c r="G439" t="s">
        <v>62</v>
      </c>
      <c r="H439" t="s">
        <v>96</v>
      </c>
      <c r="I439" t="s">
        <v>113</v>
      </c>
      <c r="J439" t="s">
        <v>36</v>
      </c>
      <c r="K439">
        <v>12</v>
      </c>
      <c r="L439" s="3">
        <v>160000</v>
      </c>
      <c r="M439" s="3">
        <v>120750</v>
      </c>
      <c r="N439">
        <v>0.1</v>
      </c>
      <c r="O439" t="s">
        <v>26</v>
      </c>
      <c r="P439" t="s">
        <v>72</v>
      </c>
      <c r="Q439" s="3">
        <f>Table13[[#This Row],[Quantity]]*Table13[[#This Row],[UnitPrice_NGN]]</f>
        <v>1920000</v>
      </c>
      <c r="R439" s="9">
        <f>Table13[[#This Row],[GrossRevenue]]*(1-Table13[[#This Row],[DiscountRate]])</f>
        <v>1728000</v>
      </c>
      <c r="S439" s="3">
        <f>Table13[[#This Row],[Quantity]]*Table13[[#This Row],[UnitCost_NGN]]</f>
        <v>1449000</v>
      </c>
      <c r="T439" s="3">
        <f>Table13[[#This Row],[NetRevenue]]-Table13[[#This Row],[TotalCost]]</f>
        <v>279000</v>
      </c>
      <c r="U439" s="3"/>
    </row>
    <row r="440" spans="1:21" x14ac:dyDescent="0.25">
      <c r="A440" t="s">
        <v>796</v>
      </c>
      <c r="B440" s="20">
        <v>45838</v>
      </c>
      <c r="C440" t="s">
        <v>30</v>
      </c>
      <c r="D440" t="s">
        <v>60</v>
      </c>
      <c r="E440" t="s">
        <v>61</v>
      </c>
      <c r="F440" t="s">
        <v>43</v>
      </c>
      <c r="G440" t="s">
        <v>22</v>
      </c>
      <c r="H440" t="s">
        <v>63</v>
      </c>
      <c r="I440" t="s">
        <v>24</v>
      </c>
      <c r="J440" t="s">
        <v>25</v>
      </c>
      <c r="K440">
        <v>5</v>
      </c>
      <c r="L440" s="3">
        <v>20900</v>
      </c>
      <c r="M440" s="3">
        <v>13000</v>
      </c>
      <c r="N440">
        <v>0.05</v>
      </c>
      <c r="O440" t="s">
        <v>64</v>
      </c>
      <c r="P440" t="s">
        <v>133</v>
      </c>
      <c r="Q440" s="3">
        <f>Table13[[#This Row],[Quantity]]*Table13[[#This Row],[UnitPrice_NGN]]</f>
        <v>104500</v>
      </c>
      <c r="R440" s="9">
        <f>Table13[[#This Row],[GrossRevenue]]*(1-Table13[[#This Row],[DiscountRate]])</f>
        <v>99275</v>
      </c>
      <c r="S440" s="3">
        <f>Table13[[#This Row],[Quantity]]*Table13[[#This Row],[UnitCost_NGN]]</f>
        <v>65000</v>
      </c>
      <c r="T440" s="3">
        <f>Table13[[#This Row],[NetRevenue]]-Table13[[#This Row],[TotalCost]]</f>
        <v>34275</v>
      </c>
      <c r="U440" s="3"/>
    </row>
    <row r="441" spans="1:21" x14ac:dyDescent="0.25">
      <c r="A441" t="s">
        <v>797</v>
      </c>
      <c r="B441" s="20">
        <v>45941</v>
      </c>
      <c r="C441" t="s">
        <v>40</v>
      </c>
      <c r="D441" t="s">
        <v>19</v>
      </c>
      <c r="E441" t="s">
        <v>20</v>
      </c>
      <c r="F441" t="s">
        <v>21</v>
      </c>
      <c r="G441" t="s">
        <v>62</v>
      </c>
      <c r="H441" t="s">
        <v>63</v>
      </c>
      <c r="I441" t="s">
        <v>70</v>
      </c>
      <c r="J441" t="s">
        <v>71</v>
      </c>
      <c r="K441">
        <v>3</v>
      </c>
      <c r="L441" s="3">
        <v>99750</v>
      </c>
      <c r="M441" s="3">
        <v>62000</v>
      </c>
      <c r="N441">
        <v>0</v>
      </c>
      <c r="O441" t="s">
        <v>64</v>
      </c>
      <c r="P441" t="s">
        <v>48</v>
      </c>
      <c r="Q441" s="3">
        <f>Table13[[#This Row],[Quantity]]*Table13[[#This Row],[UnitPrice_NGN]]</f>
        <v>299250</v>
      </c>
      <c r="R441" s="9">
        <f>Table13[[#This Row],[GrossRevenue]]*(1-Table13[[#This Row],[DiscountRate]])</f>
        <v>299250</v>
      </c>
      <c r="S441" s="3">
        <f>Table13[[#This Row],[Quantity]]*Table13[[#This Row],[UnitCost_NGN]]</f>
        <v>186000</v>
      </c>
      <c r="T441" s="3">
        <f>Table13[[#This Row],[NetRevenue]]-Table13[[#This Row],[TotalCost]]</f>
        <v>113250</v>
      </c>
      <c r="U441" s="3"/>
    </row>
    <row r="442" spans="1:21" x14ac:dyDescent="0.25">
      <c r="A442" t="s">
        <v>798</v>
      </c>
      <c r="B442" s="20">
        <v>45760</v>
      </c>
      <c r="C442" t="s">
        <v>30</v>
      </c>
      <c r="D442" t="s">
        <v>41</v>
      </c>
      <c r="E442" t="s">
        <v>42</v>
      </c>
      <c r="F442" t="s">
        <v>43</v>
      </c>
      <c r="G442" t="s">
        <v>44</v>
      </c>
      <c r="H442" t="s">
        <v>63</v>
      </c>
      <c r="I442" t="s">
        <v>45</v>
      </c>
      <c r="J442" t="s">
        <v>46</v>
      </c>
      <c r="K442">
        <v>2</v>
      </c>
      <c r="L442" s="3">
        <v>19425</v>
      </c>
      <c r="M442" s="3">
        <v>14500</v>
      </c>
      <c r="N442">
        <v>0.05</v>
      </c>
      <c r="O442" t="s">
        <v>64</v>
      </c>
      <c r="P442" t="s">
        <v>48</v>
      </c>
      <c r="Q442" s="3">
        <f>Table13[[#This Row],[Quantity]]*Table13[[#This Row],[UnitPrice_NGN]]</f>
        <v>38850</v>
      </c>
      <c r="R442" s="9">
        <f>Table13[[#This Row],[GrossRevenue]]*(1-Table13[[#This Row],[DiscountRate]])</f>
        <v>36907.5</v>
      </c>
      <c r="S442" s="3">
        <f>Table13[[#This Row],[Quantity]]*Table13[[#This Row],[UnitCost_NGN]]</f>
        <v>29000</v>
      </c>
      <c r="T442" s="3">
        <f>Table13[[#This Row],[NetRevenue]]-Table13[[#This Row],[TotalCost]]</f>
        <v>7907.5</v>
      </c>
      <c r="U442" s="3"/>
    </row>
    <row r="443" spans="1:21" x14ac:dyDescent="0.25">
      <c r="A443" t="s">
        <v>799</v>
      </c>
      <c r="B443" s="20">
        <v>45712</v>
      </c>
      <c r="C443" t="s">
        <v>18</v>
      </c>
      <c r="D443" t="s">
        <v>60</v>
      </c>
      <c r="E443" t="s">
        <v>61</v>
      </c>
      <c r="F443" t="s">
        <v>43</v>
      </c>
      <c r="G443" t="s">
        <v>33</v>
      </c>
      <c r="H443" t="s">
        <v>23</v>
      </c>
      <c r="I443" t="s">
        <v>113</v>
      </c>
      <c r="J443" t="s">
        <v>36</v>
      </c>
      <c r="K443">
        <v>8</v>
      </c>
      <c r="L443" s="3">
        <v>176000</v>
      </c>
      <c r="M443" s="3">
        <v>115000</v>
      </c>
      <c r="N443">
        <v>0</v>
      </c>
      <c r="O443" t="s">
        <v>148</v>
      </c>
      <c r="P443" t="s">
        <v>48</v>
      </c>
      <c r="Q443" s="3">
        <f>Table13[[#This Row],[Quantity]]*Table13[[#This Row],[UnitPrice_NGN]]</f>
        <v>1408000</v>
      </c>
      <c r="R443" s="9">
        <f>Table13[[#This Row],[GrossRevenue]]*(1-Table13[[#This Row],[DiscountRate]])</f>
        <v>1408000</v>
      </c>
      <c r="S443" s="3">
        <f>Table13[[#This Row],[Quantity]]*Table13[[#This Row],[UnitCost_NGN]]</f>
        <v>920000</v>
      </c>
      <c r="T443" s="3">
        <f>Table13[[#This Row],[NetRevenue]]-Table13[[#This Row],[TotalCost]]</f>
        <v>488000</v>
      </c>
      <c r="U443" s="3"/>
    </row>
    <row r="444" spans="1:21" x14ac:dyDescent="0.25">
      <c r="A444" t="s">
        <v>800</v>
      </c>
      <c r="B444" s="20">
        <v>45952</v>
      </c>
      <c r="C444" t="s">
        <v>40</v>
      </c>
      <c r="D444" t="s">
        <v>31</v>
      </c>
      <c r="E444" t="s">
        <v>32</v>
      </c>
      <c r="F444" t="s">
        <v>21</v>
      </c>
      <c r="G444" t="s">
        <v>44</v>
      </c>
      <c r="H444" t="s">
        <v>23</v>
      </c>
      <c r="I444" t="s">
        <v>93</v>
      </c>
      <c r="J444" t="s">
        <v>46</v>
      </c>
      <c r="K444">
        <v>8</v>
      </c>
      <c r="L444" s="3">
        <v>95000</v>
      </c>
      <c r="M444" s="3">
        <v>82000</v>
      </c>
      <c r="N444">
        <v>0.05</v>
      </c>
      <c r="O444" t="s">
        <v>57</v>
      </c>
      <c r="P444" t="s">
        <v>48</v>
      </c>
      <c r="Q444" s="3">
        <f>Table13[[#This Row],[Quantity]]*Table13[[#This Row],[UnitPrice_NGN]]</f>
        <v>760000</v>
      </c>
      <c r="R444" s="9">
        <f>Table13[[#This Row],[GrossRevenue]]*(1-Table13[[#This Row],[DiscountRate]])</f>
        <v>722000</v>
      </c>
      <c r="S444" s="3">
        <f>Table13[[#This Row],[Quantity]]*Table13[[#This Row],[UnitCost_NGN]]</f>
        <v>656000</v>
      </c>
      <c r="T444" s="3">
        <f>Table13[[#This Row],[NetRevenue]]-Table13[[#This Row],[TotalCost]]</f>
        <v>66000</v>
      </c>
      <c r="U444" s="3"/>
    </row>
    <row r="445" spans="1:21" x14ac:dyDescent="0.25">
      <c r="A445" t="s">
        <v>801</v>
      </c>
      <c r="B445" s="20">
        <v>45874</v>
      </c>
      <c r="C445" t="s">
        <v>30</v>
      </c>
      <c r="D445" t="s">
        <v>60</v>
      </c>
      <c r="E445" t="s">
        <v>61</v>
      </c>
      <c r="F445" t="s">
        <v>43</v>
      </c>
      <c r="G445" t="s">
        <v>22</v>
      </c>
      <c r="H445" t="s">
        <v>23</v>
      </c>
      <c r="I445" t="s">
        <v>55</v>
      </c>
      <c r="J445" t="s">
        <v>56</v>
      </c>
      <c r="K445">
        <v>6</v>
      </c>
      <c r="L445" s="3">
        <v>45600</v>
      </c>
      <c r="M445" s="3">
        <v>28500</v>
      </c>
      <c r="N445">
        <v>0.1</v>
      </c>
      <c r="O445" t="s">
        <v>47</v>
      </c>
      <c r="P445" t="s">
        <v>72</v>
      </c>
      <c r="Q445" s="3">
        <f>Table13[[#This Row],[Quantity]]*Table13[[#This Row],[UnitPrice_NGN]]</f>
        <v>273600</v>
      </c>
      <c r="R445" s="9">
        <f>Table13[[#This Row],[GrossRevenue]]*(1-Table13[[#This Row],[DiscountRate]])</f>
        <v>246240</v>
      </c>
      <c r="S445" s="3">
        <f>Table13[[#This Row],[Quantity]]*Table13[[#This Row],[UnitCost_NGN]]</f>
        <v>171000</v>
      </c>
      <c r="T445" s="3">
        <f>Table13[[#This Row],[NetRevenue]]-Table13[[#This Row],[TotalCost]]</f>
        <v>75240</v>
      </c>
      <c r="U445" s="3"/>
    </row>
    <row r="446" spans="1:21" x14ac:dyDescent="0.25">
      <c r="A446" t="s">
        <v>802</v>
      </c>
      <c r="B446" s="20">
        <v>45923</v>
      </c>
      <c r="C446" t="s">
        <v>40</v>
      </c>
      <c r="D446" t="s">
        <v>120</v>
      </c>
      <c r="E446" t="s">
        <v>121</v>
      </c>
      <c r="F446" t="s">
        <v>122</v>
      </c>
      <c r="G446" t="s">
        <v>22</v>
      </c>
      <c r="H446" t="s">
        <v>96</v>
      </c>
      <c r="I446" t="s">
        <v>55</v>
      </c>
      <c r="J446" t="s">
        <v>56</v>
      </c>
      <c r="K446">
        <v>6</v>
      </c>
      <c r="L446" s="3">
        <v>48000</v>
      </c>
      <c r="M446" s="3">
        <v>28500</v>
      </c>
      <c r="N446">
        <v>0.15</v>
      </c>
      <c r="O446" t="s">
        <v>64</v>
      </c>
      <c r="P446" t="s">
        <v>72</v>
      </c>
      <c r="Q446" s="3">
        <f>Table13[[#This Row],[Quantity]]*Table13[[#This Row],[UnitPrice_NGN]]</f>
        <v>288000</v>
      </c>
      <c r="R446" s="9">
        <f>Table13[[#This Row],[GrossRevenue]]*(1-Table13[[#This Row],[DiscountRate]])</f>
        <v>244800</v>
      </c>
      <c r="S446" s="3">
        <f>Table13[[#This Row],[Quantity]]*Table13[[#This Row],[UnitCost_NGN]]</f>
        <v>171000</v>
      </c>
      <c r="T446" s="3">
        <f>Table13[[#This Row],[NetRevenue]]-Table13[[#This Row],[TotalCost]]</f>
        <v>73800</v>
      </c>
      <c r="U446" s="3"/>
    </row>
    <row r="447" spans="1:21" x14ac:dyDescent="0.25">
      <c r="A447" t="s">
        <v>803</v>
      </c>
      <c r="B447" s="20">
        <v>45938</v>
      </c>
      <c r="C447" t="s">
        <v>18</v>
      </c>
      <c r="D447" t="s">
        <v>131</v>
      </c>
      <c r="E447" t="s">
        <v>132</v>
      </c>
      <c r="F447" t="s">
        <v>80</v>
      </c>
      <c r="G447" t="s">
        <v>62</v>
      </c>
      <c r="H447" t="s">
        <v>112</v>
      </c>
      <c r="I447" t="s">
        <v>55</v>
      </c>
      <c r="J447" t="s">
        <v>56</v>
      </c>
      <c r="K447">
        <v>1</v>
      </c>
      <c r="L447" s="3">
        <v>48000</v>
      </c>
      <c r="M447" s="3">
        <v>30000</v>
      </c>
      <c r="N447">
        <v>0</v>
      </c>
      <c r="O447" t="s">
        <v>47</v>
      </c>
      <c r="P447" t="s">
        <v>48</v>
      </c>
      <c r="Q447" s="3">
        <f>Table13[[#This Row],[Quantity]]*Table13[[#This Row],[UnitPrice_NGN]]</f>
        <v>48000</v>
      </c>
      <c r="R447" s="9">
        <f>Table13[[#This Row],[GrossRevenue]]*(1-Table13[[#This Row],[DiscountRate]])</f>
        <v>48000</v>
      </c>
      <c r="S447" s="3">
        <f>Table13[[#This Row],[Quantity]]*Table13[[#This Row],[UnitCost_NGN]]</f>
        <v>30000</v>
      </c>
      <c r="T447" s="3">
        <f>Table13[[#This Row],[NetRevenue]]-Table13[[#This Row],[TotalCost]]</f>
        <v>18000</v>
      </c>
      <c r="U447" s="3"/>
    </row>
    <row r="448" spans="1:21" x14ac:dyDescent="0.25">
      <c r="A448" t="s">
        <v>804</v>
      </c>
      <c r="B448" s="20">
        <v>45848</v>
      </c>
      <c r="C448" t="s">
        <v>40</v>
      </c>
      <c r="D448" t="s">
        <v>157</v>
      </c>
      <c r="E448" t="s">
        <v>158</v>
      </c>
      <c r="F448" t="s">
        <v>21</v>
      </c>
      <c r="G448" t="s">
        <v>62</v>
      </c>
      <c r="H448" t="s">
        <v>112</v>
      </c>
      <c r="I448" t="s">
        <v>105</v>
      </c>
      <c r="J448" t="s">
        <v>71</v>
      </c>
      <c r="K448">
        <v>3</v>
      </c>
      <c r="L448" s="3">
        <v>166250</v>
      </c>
      <c r="M448" s="3">
        <v>126000</v>
      </c>
      <c r="N448">
        <v>0.15</v>
      </c>
      <c r="O448" t="s">
        <v>90</v>
      </c>
      <c r="P448" t="s">
        <v>48</v>
      </c>
      <c r="Q448" s="3">
        <f>Table13[[#This Row],[Quantity]]*Table13[[#This Row],[UnitPrice_NGN]]</f>
        <v>498750</v>
      </c>
      <c r="R448" s="9">
        <f>Table13[[#This Row],[GrossRevenue]]*(1-Table13[[#This Row],[DiscountRate]])</f>
        <v>423937.5</v>
      </c>
      <c r="S448" s="3">
        <f>Table13[[#This Row],[Quantity]]*Table13[[#This Row],[UnitCost_NGN]]</f>
        <v>378000</v>
      </c>
      <c r="T448" s="3">
        <f>Table13[[#This Row],[NetRevenue]]-Table13[[#This Row],[TotalCost]]</f>
        <v>45937.5</v>
      </c>
      <c r="U448" s="3"/>
    </row>
    <row r="449" spans="1:21" x14ac:dyDescent="0.25">
      <c r="A449" t="s">
        <v>806</v>
      </c>
      <c r="B449" s="20">
        <v>45796</v>
      </c>
      <c r="C449" t="s">
        <v>30</v>
      </c>
      <c r="D449" t="s">
        <v>157</v>
      </c>
      <c r="E449" t="s">
        <v>158</v>
      </c>
      <c r="F449" t="s">
        <v>21</v>
      </c>
      <c r="G449" t="s">
        <v>33</v>
      </c>
      <c r="H449" t="s">
        <v>112</v>
      </c>
      <c r="I449" t="s">
        <v>45</v>
      </c>
      <c r="J449" t="s">
        <v>46</v>
      </c>
      <c r="K449">
        <v>15</v>
      </c>
      <c r="L449" s="3">
        <v>19425</v>
      </c>
      <c r="M449" s="3">
        <v>14500</v>
      </c>
      <c r="N449">
        <v>0</v>
      </c>
      <c r="O449" t="s">
        <v>64</v>
      </c>
      <c r="P449" t="s">
        <v>48</v>
      </c>
      <c r="Q449" s="3">
        <f>Table13[[#This Row],[Quantity]]*Table13[[#This Row],[UnitPrice_NGN]]</f>
        <v>291375</v>
      </c>
      <c r="R449" s="9">
        <f>Table13[[#This Row],[GrossRevenue]]*(1-Table13[[#This Row],[DiscountRate]])</f>
        <v>291375</v>
      </c>
      <c r="S449" s="3">
        <f>Table13[[#This Row],[Quantity]]*Table13[[#This Row],[UnitCost_NGN]]</f>
        <v>217500</v>
      </c>
      <c r="T449" s="3">
        <f>Table13[[#This Row],[NetRevenue]]-Table13[[#This Row],[TotalCost]]</f>
        <v>73875</v>
      </c>
      <c r="U449" s="3"/>
    </row>
    <row r="450" spans="1:21" x14ac:dyDescent="0.25">
      <c r="A450" t="s">
        <v>807</v>
      </c>
      <c r="B450" s="20">
        <v>45873</v>
      </c>
      <c r="C450" t="s">
        <v>18</v>
      </c>
      <c r="D450" t="s">
        <v>136</v>
      </c>
      <c r="E450" t="s">
        <v>137</v>
      </c>
      <c r="F450" t="s">
        <v>122</v>
      </c>
      <c r="G450" t="s">
        <v>62</v>
      </c>
      <c r="H450" t="s">
        <v>112</v>
      </c>
      <c r="I450" t="s">
        <v>75</v>
      </c>
      <c r="J450" t="s">
        <v>36</v>
      </c>
      <c r="K450">
        <v>1</v>
      </c>
      <c r="L450" s="3">
        <v>198000</v>
      </c>
      <c r="M450" s="3">
        <v>123500</v>
      </c>
      <c r="N450">
        <v>0</v>
      </c>
      <c r="O450" t="s">
        <v>57</v>
      </c>
      <c r="P450" t="s">
        <v>72</v>
      </c>
      <c r="Q450" s="3">
        <f>Table13[[#This Row],[Quantity]]*Table13[[#This Row],[UnitPrice_NGN]]</f>
        <v>198000</v>
      </c>
      <c r="R450" s="9">
        <f>Table13[[#This Row],[GrossRevenue]]*(1-Table13[[#This Row],[DiscountRate]])</f>
        <v>198000</v>
      </c>
      <c r="S450" s="3">
        <f>Table13[[#This Row],[Quantity]]*Table13[[#This Row],[UnitCost_NGN]]</f>
        <v>123500</v>
      </c>
      <c r="T450" s="3">
        <f>Table13[[#This Row],[NetRevenue]]-Table13[[#This Row],[TotalCost]]</f>
        <v>74500</v>
      </c>
      <c r="U450" s="3"/>
    </row>
    <row r="451" spans="1:21" x14ac:dyDescent="0.25">
      <c r="A451" t="s">
        <v>809</v>
      </c>
      <c r="B451" s="20">
        <v>46011</v>
      </c>
      <c r="C451" t="s">
        <v>18</v>
      </c>
      <c r="D451" t="s">
        <v>78</v>
      </c>
      <c r="E451" t="s">
        <v>79</v>
      </c>
      <c r="F451" t="s">
        <v>80</v>
      </c>
      <c r="G451" t="s">
        <v>44</v>
      </c>
      <c r="H451" t="s">
        <v>63</v>
      </c>
      <c r="I451" t="s">
        <v>70</v>
      </c>
      <c r="J451" t="s">
        <v>71</v>
      </c>
      <c r="K451">
        <v>8</v>
      </c>
      <c r="L451" s="3">
        <v>85500</v>
      </c>
      <c r="M451" s="3">
        <v>65100</v>
      </c>
      <c r="N451">
        <v>0</v>
      </c>
      <c r="O451" t="s">
        <v>37</v>
      </c>
      <c r="P451" t="s">
        <v>48</v>
      </c>
      <c r="Q451" s="3">
        <f>Table13[[#This Row],[Quantity]]*Table13[[#This Row],[UnitPrice_NGN]]</f>
        <v>684000</v>
      </c>
      <c r="R451" s="9">
        <f>Table13[[#This Row],[GrossRevenue]]*(1-Table13[[#This Row],[DiscountRate]])</f>
        <v>684000</v>
      </c>
      <c r="S451" s="3">
        <f>Table13[[#This Row],[Quantity]]*Table13[[#This Row],[UnitCost_NGN]]</f>
        <v>520800</v>
      </c>
      <c r="T451" s="3">
        <f>Table13[[#This Row],[NetRevenue]]-Table13[[#This Row],[TotalCost]]</f>
        <v>163200</v>
      </c>
      <c r="U451" s="3"/>
    </row>
    <row r="452" spans="1:21" x14ac:dyDescent="0.25">
      <c r="A452" t="s">
        <v>811</v>
      </c>
      <c r="B452" s="20">
        <v>45842</v>
      </c>
      <c r="C452" t="s">
        <v>30</v>
      </c>
      <c r="D452" t="s">
        <v>19</v>
      </c>
      <c r="E452" t="s">
        <v>20</v>
      </c>
      <c r="F452" t="s">
        <v>21</v>
      </c>
      <c r="G452" t="s">
        <v>62</v>
      </c>
      <c r="H452" t="s">
        <v>63</v>
      </c>
      <c r="I452" t="s">
        <v>24</v>
      </c>
      <c r="J452" t="s">
        <v>25</v>
      </c>
      <c r="K452">
        <v>3</v>
      </c>
      <c r="L452" s="3">
        <v>22000</v>
      </c>
      <c r="M452" s="3">
        <v>13000</v>
      </c>
      <c r="N452">
        <v>0</v>
      </c>
      <c r="O452" t="s">
        <v>148</v>
      </c>
      <c r="P452" t="s">
        <v>133</v>
      </c>
      <c r="Q452" s="3">
        <f>Table13[[#This Row],[Quantity]]*Table13[[#This Row],[UnitPrice_NGN]]</f>
        <v>66000</v>
      </c>
      <c r="R452" s="9">
        <f>Table13[[#This Row],[GrossRevenue]]*(1-Table13[[#This Row],[DiscountRate]])</f>
        <v>66000</v>
      </c>
      <c r="S452" s="3">
        <f>Table13[[#This Row],[Quantity]]*Table13[[#This Row],[UnitCost_NGN]]</f>
        <v>39000</v>
      </c>
      <c r="T452" s="3">
        <f>Table13[[#This Row],[NetRevenue]]-Table13[[#This Row],[TotalCost]]</f>
        <v>27000</v>
      </c>
      <c r="U452" s="3"/>
    </row>
    <row r="453" spans="1:21" x14ac:dyDescent="0.25">
      <c r="A453" t="s">
        <v>812</v>
      </c>
      <c r="B453" s="20">
        <v>45952</v>
      </c>
      <c r="C453" t="s">
        <v>30</v>
      </c>
      <c r="D453" t="s">
        <v>19</v>
      </c>
      <c r="E453" t="s">
        <v>20</v>
      </c>
      <c r="F453" t="s">
        <v>21</v>
      </c>
      <c r="G453" t="s">
        <v>44</v>
      </c>
      <c r="H453" t="s">
        <v>63</v>
      </c>
      <c r="I453" t="s">
        <v>55</v>
      </c>
      <c r="J453" t="s">
        <v>56</v>
      </c>
      <c r="K453">
        <v>2</v>
      </c>
      <c r="L453" s="3">
        <v>50400</v>
      </c>
      <c r="M453" s="3">
        <v>30000</v>
      </c>
      <c r="N453">
        <v>0.1</v>
      </c>
      <c r="O453" t="s">
        <v>47</v>
      </c>
      <c r="P453" t="s">
        <v>27</v>
      </c>
      <c r="Q453" s="3">
        <f>Table13[[#This Row],[Quantity]]*Table13[[#This Row],[UnitPrice_NGN]]</f>
        <v>100800</v>
      </c>
      <c r="R453" s="9">
        <f>Table13[[#This Row],[GrossRevenue]]*(1-Table13[[#This Row],[DiscountRate]])</f>
        <v>90720</v>
      </c>
      <c r="S453" s="3">
        <f>Table13[[#This Row],[Quantity]]*Table13[[#This Row],[UnitCost_NGN]]</f>
        <v>60000</v>
      </c>
      <c r="T453" s="3">
        <f>Table13[[#This Row],[NetRevenue]]-Table13[[#This Row],[TotalCost]]</f>
        <v>30720</v>
      </c>
      <c r="U453" s="3"/>
    </row>
    <row r="454" spans="1:21" x14ac:dyDescent="0.25">
      <c r="A454" t="s">
        <v>813</v>
      </c>
      <c r="B454" s="20">
        <v>45853</v>
      </c>
      <c r="C454" t="s">
        <v>40</v>
      </c>
      <c r="D454" t="s">
        <v>120</v>
      </c>
      <c r="E454" t="s">
        <v>121</v>
      </c>
      <c r="F454" t="s">
        <v>122</v>
      </c>
      <c r="G454" t="s">
        <v>33</v>
      </c>
      <c r="H454" t="s">
        <v>34</v>
      </c>
      <c r="I454" t="s">
        <v>105</v>
      </c>
      <c r="J454" t="s">
        <v>71</v>
      </c>
      <c r="K454">
        <v>3</v>
      </c>
      <c r="L454" s="3">
        <v>192500</v>
      </c>
      <c r="M454" s="3">
        <v>126000</v>
      </c>
      <c r="N454">
        <v>0</v>
      </c>
      <c r="O454" t="s">
        <v>90</v>
      </c>
      <c r="P454" t="s">
        <v>133</v>
      </c>
      <c r="Q454" s="3">
        <f>Table13[[#This Row],[Quantity]]*Table13[[#This Row],[UnitPrice_NGN]]</f>
        <v>577500</v>
      </c>
      <c r="R454" s="9">
        <f>Table13[[#This Row],[GrossRevenue]]*(1-Table13[[#This Row],[DiscountRate]])</f>
        <v>577500</v>
      </c>
      <c r="S454" s="3">
        <f>Table13[[#This Row],[Quantity]]*Table13[[#This Row],[UnitCost_NGN]]</f>
        <v>378000</v>
      </c>
      <c r="T454" s="3">
        <f>Table13[[#This Row],[NetRevenue]]-Table13[[#This Row],[TotalCost]]</f>
        <v>199500</v>
      </c>
      <c r="U454" s="3"/>
    </row>
    <row r="455" spans="1:21" x14ac:dyDescent="0.25">
      <c r="A455" t="s">
        <v>814</v>
      </c>
      <c r="B455" s="20">
        <v>45698</v>
      </c>
      <c r="C455" t="s">
        <v>40</v>
      </c>
      <c r="D455" t="s">
        <v>88</v>
      </c>
      <c r="E455" t="s">
        <v>89</v>
      </c>
      <c r="F455" t="s">
        <v>43</v>
      </c>
      <c r="G455" t="s">
        <v>44</v>
      </c>
      <c r="H455" t="s">
        <v>63</v>
      </c>
      <c r="I455" t="s">
        <v>24</v>
      </c>
      <c r="J455" t="s">
        <v>25</v>
      </c>
      <c r="K455">
        <v>3</v>
      </c>
      <c r="L455" s="3">
        <v>22000</v>
      </c>
      <c r="M455" s="3">
        <v>13650</v>
      </c>
      <c r="N455">
        <v>0</v>
      </c>
      <c r="O455" t="s">
        <v>47</v>
      </c>
      <c r="P455" t="s">
        <v>48</v>
      </c>
      <c r="Q455" s="3">
        <f>Table13[[#This Row],[Quantity]]*Table13[[#This Row],[UnitPrice_NGN]]</f>
        <v>66000</v>
      </c>
      <c r="R455" s="9">
        <f>Table13[[#This Row],[GrossRevenue]]*(1-Table13[[#This Row],[DiscountRate]])</f>
        <v>66000</v>
      </c>
      <c r="S455" s="3">
        <f>Table13[[#This Row],[Quantity]]*Table13[[#This Row],[UnitCost_NGN]]</f>
        <v>40950</v>
      </c>
      <c r="T455" s="3">
        <f>Table13[[#This Row],[NetRevenue]]-Table13[[#This Row],[TotalCost]]</f>
        <v>25050</v>
      </c>
      <c r="U455" s="3"/>
    </row>
    <row r="456" spans="1:21" x14ac:dyDescent="0.25">
      <c r="A456" t="s">
        <v>815</v>
      </c>
      <c r="B456" s="20">
        <v>45885</v>
      </c>
      <c r="C456" t="s">
        <v>30</v>
      </c>
      <c r="D456" t="s">
        <v>41</v>
      </c>
      <c r="E456" t="s">
        <v>42</v>
      </c>
      <c r="F456" t="s">
        <v>43</v>
      </c>
      <c r="G456" t="s">
        <v>33</v>
      </c>
      <c r="H456" t="s">
        <v>112</v>
      </c>
      <c r="I456" t="s">
        <v>24</v>
      </c>
      <c r="J456" t="s">
        <v>25</v>
      </c>
      <c r="K456">
        <v>5</v>
      </c>
      <c r="L456" s="3">
        <v>22000</v>
      </c>
      <c r="M456" s="3">
        <v>13650</v>
      </c>
      <c r="N456">
        <v>0</v>
      </c>
      <c r="O456" t="s">
        <v>90</v>
      </c>
      <c r="P456" t="s">
        <v>48</v>
      </c>
      <c r="Q456" s="3">
        <f>Table13[[#This Row],[Quantity]]*Table13[[#This Row],[UnitPrice_NGN]]</f>
        <v>110000</v>
      </c>
      <c r="R456" s="9">
        <f>Table13[[#This Row],[GrossRevenue]]*(1-Table13[[#This Row],[DiscountRate]])</f>
        <v>110000</v>
      </c>
      <c r="S456" s="3">
        <f>Table13[[#This Row],[Quantity]]*Table13[[#This Row],[UnitCost_NGN]]</f>
        <v>68250</v>
      </c>
      <c r="T456" s="3">
        <f>Table13[[#This Row],[NetRevenue]]-Table13[[#This Row],[TotalCost]]</f>
        <v>41750</v>
      </c>
      <c r="U456" s="3"/>
    </row>
    <row r="457" spans="1:21" x14ac:dyDescent="0.25">
      <c r="A457" t="s">
        <v>816</v>
      </c>
      <c r="B457" s="20">
        <v>46016</v>
      </c>
      <c r="C457" t="s">
        <v>18</v>
      </c>
      <c r="D457" t="s">
        <v>31</v>
      </c>
      <c r="E457" t="s">
        <v>32</v>
      </c>
      <c r="F457" t="s">
        <v>21</v>
      </c>
      <c r="G457" t="s">
        <v>44</v>
      </c>
      <c r="H457" t="s">
        <v>34</v>
      </c>
      <c r="I457" t="s">
        <v>75</v>
      </c>
      <c r="J457" t="s">
        <v>36</v>
      </c>
      <c r="K457">
        <v>1</v>
      </c>
      <c r="L457" s="3">
        <v>171000</v>
      </c>
      <c r="M457" s="3">
        <v>130000</v>
      </c>
      <c r="N457">
        <v>0.15</v>
      </c>
      <c r="O457" t="s">
        <v>26</v>
      </c>
      <c r="P457" t="s">
        <v>27</v>
      </c>
      <c r="Q457" s="3">
        <f>Table13[[#This Row],[Quantity]]*Table13[[#This Row],[UnitPrice_NGN]]</f>
        <v>171000</v>
      </c>
      <c r="R457" s="9">
        <f>Table13[[#This Row],[GrossRevenue]]*(1-Table13[[#This Row],[DiscountRate]])</f>
        <v>145350</v>
      </c>
      <c r="S457" s="3">
        <f>Table13[[#This Row],[Quantity]]*Table13[[#This Row],[UnitCost_NGN]]</f>
        <v>130000</v>
      </c>
      <c r="T457" s="3">
        <f>Table13[[#This Row],[NetRevenue]]-Table13[[#This Row],[TotalCost]]</f>
        <v>15350</v>
      </c>
      <c r="U457" s="3"/>
    </row>
    <row r="458" spans="1:21" x14ac:dyDescent="0.25">
      <c r="A458" t="s">
        <v>818</v>
      </c>
      <c r="B458" s="20">
        <v>45861</v>
      </c>
      <c r="C458" t="s">
        <v>18</v>
      </c>
      <c r="D458" t="s">
        <v>19</v>
      </c>
      <c r="E458" t="s">
        <v>20</v>
      </c>
      <c r="F458" t="s">
        <v>21</v>
      </c>
      <c r="G458" t="s">
        <v>22</v>
      </c>
      <c r="H458" t="s">
        <v>63</v>
      </c>
      <c r="I458" t="s">
        <v>51</v>
      </c>
      <c r="J458" t="s">
        <v>36</v>
      </c>
      <c r="K458">
        <v>1</v>
      </c>
      <c r="L458" s="3">
        <v>280000</v>
      </c>
      <c r="M458" s="3">
        <v>199500</v>
      </c>
      <c r="N458">
        <v>0</v>
      </c>
      <c r="O458" t="s">
        <v>90</v>
      </c>
      <c r="P458" t="s">
        <v>133</v>
      </c>
      <c r="Q458" s="3">
        <f>Table13[[#This Row],[Quantity]]*Table13[[#This Row],[UnitPrice_NGN]]</f>
        <v>280000</v>
      </c>
      <c r="R458" s="9">
        <f>Table13[[#This Row],[GrossRevenue]]*(1-Table13[[#This Row],[DiscountRate]])</f>
        <v>280000</v>
      </c>
      <c r="S458" s="3">
        <f>Table13[[#This Row],[Quantity]]*Table13[[#This Row],[UnitCost_NGN]]</f>
        <v>199500</v>
      </c>
      <c r="T458" s="3">
        <f>Table13[[#This Row],[NetRevenue]]-Table13[[#This Row],[TotalCost]]</f>
        <v>80500</v>
      </c>
      <c r="U458" s="3"/>
    </row>
    <row r="459" spans="1:21" x14ac:dyDescent="0.25">
      <c r="A459" t="s">
        <v>819</v>
      </c>
      <c r="B459" s="20">
        <v>45784</v>
      </c>
      <c r="C459" t="s">
        <v>40</v>
      </c>
      <c r="D459" t="s">
        <v>120</v>
      </c>
      <c r="E459" t="s">
        <v>121</v>
      </c>
      <c r="F459" t="s">
        <v>122</v>
      </c>
      <c r="G459" t="s">
        <v>33</v>
      </c>
      <c r="H459" t="s">
        <v>34</v>
      </c>
      <c r="I459" t="s">
        <v>51</v>
      </c>
      <c r="J459" t="s">
        <v>36</v>
      </c>
      <c r="K459">
        <v>12</v>
      </c>
      <c r="L459" s="3">
        <v>280000</v>
      </c>
      <c r="M459" s="3">
        <v>210000</v>
      </c>
      <c r="N459">
        <v>0</v>
      </c>
      <c r="O459" t="s">
        <v>90</v>
      </c>
      <c r="P459" t="s">
        <v>27</v>
      </c>
      <c r="Q459" s="3">
        <f>Table13[[#This Row],[Quantity]]*Table13[[#This Row],[UnitPrice_NGN]]</f>
        <v>3360000</v>
      </c>
      <c r="R459" s="9">
        <f>Table13[[#This Row],[GrossRevenue]]*(1-Table13[[#This Row],[DiscountRate]])</f>
        <v>3360000</v>
      </c>
      <c r="S459" s="3">
        <f>Table13[[#This Row],[Quantity]]*Table13[[#This Row],[UnitCost_NGN]]</f>
        <v>2520000</v>
      </c>
      <c r="T459" s="3">
        <f>Table13[[#This Row],[NetRevenue]]-Table13[[#This Row],[TotalCost]]</f>
        <v>840000</v>
      </c>
      <c r="U459" s="3"/>
    </row>
    <row r="460" spans="1:21" x14ac:dyDescent="0.25">
      <c r="A460" t="s">
        <v>820</v>
      </c>
      <c r="B460" s="20">
        <v>45901</v>
      </c>
      <c r="C460" t="s">
        <v>30</v>
      </c>
      <c r="D460" t="s">
        <v>157</v>
      </c>
      <c r="E460" t="s">
        <v>158</v>
      </c>
      <c r="F460" t="s">
        <v>21</v>
      </c>
      <c r="G460" t="s">
        <v>62</v>
      </c>
      <c r="H460" t="s">
        <v>23</v>
      </c>
      <c r="I460" t="s">
        <v>93</v>
      </c>
      <c r="J460" t="s">
        <v>46</v>
      </c>
      <c r="K460">
        <v>1</v>
      </c>
      <c r="L460" s="3">
        <v>99750</v>
      </c>
      <c r="M460" s="3">
        <v>82000</v>
      </c>
      <c r="N460">
        <v>0</v>
      </c>
      <c r="O460" t="s">
        <v>37</v>
      </c>
      <c r="P460" t="s">
        <v>72</v>
      </c>
      <c r="Q460" s="3">
        <f>Table13[[#This Row],[Quantity]]*Table13[[#This Row],[UnitPrice_NGN]]</f>
        <v>99750</v>
      </c>
      <c r="R460" s="9">
        <f>Table13[[#This Row],[GrossRevenue]]*(1-Table13[[#This Row],[DiscountRate]])</f>
        <v>99750</v>
      </c>
      <c r="S460" s="3">
        <f>Table13[[#This Row],[Quantity]]*Table13[[#This Row],[UnitCost_NGN]]</f>
        <v>82000</v>
      </c>
      <c r="T460" s="3">
        <f>Table13[[#This Row],[NetRevenue]]-Table13[[#This Row],[TotalCost]]</f>
        <v>17750</v>
      </c>
      <c r="U460" s="3"/>
    </row>
    <row r="461" spans="1:21" x14ac:dyDescent="0.25">
      <c r="A461" t="s">
        <v>821</v>
      </c>
      <c r="B461" s="20">
        <v>45983</v>
      </c>
      <c r="C461" t="s">
        <v>40</v>
      </c>
      <c r="D461" t="s">
        <v>136</v>
      </c>
      <c r="E461" t="s">
        <v>137</v>
      </c>
      <c r="F461" t="s">
        <v>122</v>
      </c>
      <c r="G461" t="s">
        <v>62</v>
      </c>
      <c r="H461" t="s">
        <v>63</v>
      </c>
      <c r="I461" t="s">
        <v>75</v>
      </c>
      <c r="J461" t="s">
        <v>36</v>
      </c>
      <c r="K461">
        <v>4</v>
      </c>
      <c r="L461" s="3">
        <v>180000</v>
      </c>
      <c r="M461" s="3">
        <v>136500</v>
      </c>
      <c r="N461">
        <v>0.15</v>
      </c>
      <c r="O461" t="s">
        <v>37</v>
      </c>
      <c r="P461" t="s">
        <v>133</v>
      </c>
      <c r="Q461" s="3">
        <f>Table13[[#This Row],[Quantity]]*Table13[[#This Row],[UnitPrice_NGN]]</f>
        <v>720000</v>
      </c>
      <c r="R461" s="9">
        <f>Table13[[#This Row],[GrossRevenue]]*(1-Table13[[#This Row],[DiscountRate]])</f>
        <v>612000</v>
      </c>
      <c r="S461" s="3">
        <f>Table13[[#This Row],[Quantity]]*Table13[[#This Row],[UnitCost_NGN]]</f>
        <v>546000</v>
      </c>
      <c r="T461" s="3">
        <f>Table13[[#This Row],[NetRevenue]]-Table13[[#This Row],[TotalCost]]</f>
        <v>66000</v>
      </c>
      <c r="U461" s="3"/>
    </row>
    <row r="462" spans="1:21" x14ac:dyDescent="0.25">
      <c r="A462" t="s">
        <v>822</v>
      </c>
      <c r="B462" s="20">
        <v>45869</v>
      </c>
      <c r="C462" t="s">
        <v>18</v>
      </c>
      <c r="D462" t="s">
        <v>60</v>
      </c>
      <c r="E462" t="s">
        <v>61</v>
      </c>
      <c r="F462" t="s">
        <v>43</v>
      </c>
      <c r="G462" t="s">
        <v>62</v>
      </c>
      <c r="H462" t="s">
        <v>96</v>
      </c>
      <c r="I462" t="s">
        <v>93</v>
      </c>
      <c r="J462" t="s">
        <v>46</v>
      </c>
      <c r="K462">
        <v>6</v>
      </c>
      <c r="L462" s="3">
        <v>95000</v>
      </c>
      <c r="M462" s="3">
        <v>82000</v>
      </c>
      <c r="N462">
        <v>0</v>
      </c>
      <c r="O462" t="s">
        <v>148</v>
      </c>
      <c r="P462" t="s">
        <v>48</v>
      </c>
      <c r="Q462" s="3">
        <f>Table13[[#This Row],[Quantity]]*Table13[[#This Row],[UnitPrice_NGN]]</f>
        <v>570000</v>
      </c>
      <c r="R462" s="9">
        <f>Table13[[#This Row],[GrossRevenue]]*(1-Table13[[#This Row],[DiscountRate]])</f>
        <v>570000</v>
      </c>
      <c r="S462" s="3">
        <f>Table13[[#This Row],[Quantity]]*Table13[[#This Row],[UnitCost_NGN]]</f>
        <v>492000</v>
      </c>
      <c r="T462" s="3">
        <f>Table13[[#This Row],[NetRevenue]]-Table13[[#This Row],[TotalCost]]</f>
        <v>78000</v>
      </c>
      <c r="U462" s="3"/>
    </row>
    <row r="463" spans="1:21" x14ac:dyDescent="0.25">
      <c r="A463" t="s">
        <v>823</v>
      </c>
      <c r="B463" s="20">
        <v>45909</v>
      </c>
      <c r="C463" t="s">
        <v>40</v>
      </c>
      <c r="D463" t="s">
        <v>157</v>
      </c>
      <c r="E463" t="s">
        <v>158</v>
      </c>
      <c r="F463" t="s">
        <v>21</v>
      </c>
      <c r="G463" t="s">
        <v>22</v>
      </c>
      <c r="H463" t="s">
        <v>112</v>
      </c>
      <c r="I463" t="s">
        <v>93</v>
      </c>
      <c r="J463" t="s">
        <v>46</v>
      </c>
      <c r="K463">
        <v>2</v>
      </c>
      <c r="L463" s="3">
        <v>95000</v>
      </c>
      <c r="M463" s="3">
        <v>77900</v>
      </c>
      <c r="N463">
        <v>0.15</v>
      </c>
      <c r="O463" t="s">
        <v>57</v>
      </c>
      <c r="P463" t="s">
        <v>72</v>
      </c>
      <c r="Q463" s="3">
        <f>Table13[[#This Row],[Quantity]]*Table13[[#This Row],[UnitPrice_NGN]]</f>
        <v>190000</v>
      </c>
      <c r="R463" s="9">
        <f>Table13[[#This Row],[GrossRevenue]]*(1-Table13[[#This Row],[DiscountRate]])</f>
        <v>161500</v>
      </c>
      <c r="S463" s="3">
        <f>Table13[[#This Row],[Quantity]]*Table13[[#This Row],[UnitCost_NGN]]</f>
        <v>155800</v>
      </c>
      <c r="T463" s="3">
        <f>Table13[[#This Row],[NetRevenue]]-Table13[[#This Row],[TotalCost]]</f>
        <v>5700</v>
      </c>
      <c r="U463" s="3"/>
    </row>
    <row r="464" spans="1:21" x14ac:dyDescent="0.25">
      <c r="A464" t="s">
        <v>824</v>
      </c>
      <c r="B464" s="20">
        <v>45868</v>
      </c>
      <c r="C464" t="s">
        <v>40</v>
      </c>
      <c r="D464" t="s">
        <v>60</v>
      </c>
      <c r="E464" t="s">
        <v>61</v>
      </c>
      <c r="F464" t="s">
        <v>43</v>
      </c>
      <c r="G464" t="s">
        <v>33</v>
      </c>
      <c r="H464" t="s">
        <v>34</v>
      </c>
      <c r="I464" t="s">
        <v>45</v>
      </c>
      <c r="J464" t="s">
        <v>46</v>
      </c>
      <c r="K464">
        <v>6</v>
      </c>
      <c r="L464" s="3">
        <v>18500</v>
      </c>
      <c r="M464" s="3">
        <v>14500</v>
      </c>
      <c r="N464">
        <v>0</v>
      </c>
      <c r="O464" t="s">
        <v>90</v>
      </c>
      <c r="P464" t="s">
        <v>133</v>
      </c>
      <c r="Q464" s="3">
        <f>Table13[[#This Row],[Quantity]]*Table13[[#This Row],[UnitPrice_NGN]]</f>
        <v>111000</v>
      </c>
      <c r="R464" s="9">
        <f>Table13[[#This Row],[GrossRevenue]]*(1-Table13[[#This Row],[DiscountRate]])</f>
        <v>111000</v>
      </c>
      <c r="S464" s="3">
        <f>Table13[[#This Row],[Quantity]]*Table13[[#This Row],[UnitCost_NGN]]</f>
        <v>87000</v>
      </c>
      <c r="T464" s="3">
        <f>Table13[[#This Row],[NetRevenue]]-Table13[[#This Row],[TotalCost]]</f>
        <v>24000</v>
      </c>
      <c r="U464" s="3"/>
    </row>
    <row r="465" spans="1:21" x14ac:dyDescent="0.25">
      <c r="A465" t="s">
        <v>826</v>
      </c>
      <c r="B465" s="20">
        <v>45792</v>
      </c>
      <c r="C465" t="s">
        <v>40</v>
      </c>
      <c r="D465" t="s">
        <v>136</v>
      </c>
      <c r="E465" t="s">
        <v>137</v>
      </c>
      <c r="F465" t="s">
        <v>122</v>
      </c>
      <c r="G465" t="s">
        <v>44</v>
      </c>
      <c r="H465" t="s">
        <v>23</v>
      </c>
      <c r="I465" t="s">
        <v>102</v>
      </c>
      <c r="J465" t="s">
        <v>25</v>
      </c>
      <c r="K465">
        <v>5</v>
      </c>
      <c r="L465" s="3">
        <v>46200</v>
      </c>
      <c r="M465" s="3">
        <v>27300</v>
      </c>
      <c r="N465">
        <v>0</v>
      </c>
      <c r="O465" t="s">
        <v>57</v>
      </c>
      <c r="P465" t="s">
        <v>48</v>
      </c>
      <c r="Q465" s="3">
        <f>Table13[[#This Row],[Quantity]]*Table13[[#This Row],[UnitPrice_NGN]]</f>
        <v>231000</v>
      </c>
      <c r="R465" s="9">
        <f>Table13[[#This Row],[GrossRevenue]]*(1-Table13[[#This Row],[DiscountRate]])</f>
        <v>231000</v>
      </c>
      <c r="S465" s="3">
        <f>Table13[[#This Row],[Quantity]]*Table13[[#This Row],[UnitCost_NGN]]</f>
        <v>136500</v>
      </c>
      <c r="T465" s="3">
        <f>Table13[[#This Row],[NetRevenue]]-Table13[[#This Row],[TotalCost]]</f>
        <v>94500</v>
      </c>
      <c r="U465" s="3"/>
    </row>
    <row r="466" spans="1:21" x14ac:dyDescent="0.25">
      <c r="A466" t="s">
        <v>827</v>
      </c>
      <c r="B466" s="20">
        <v>45754</v>
      </c>
      <c r="C466" t="s">
        <v>18</v>
      </c>
      <c r="D466" t="s">
        <v>120</v>
      </c>
      <c r="E466" t="s">
        <v>121</v>
      </c>
      <c r="F466" t="s">
        <v>122</v>
      </c>
      <c r="G466" t="s">
        <v>44</v>
      </c>
      <c r="H466" t="s">
        <v>63</v>
      </c>
      <c r="I466" t="s">
        <v>70</v>
      </c>
      <c r="J466" t="s">
        <v>71</v>
      </c>
      <c r="K466">
        <v>6</v>
      </c>
      <c r="L466" s="3">
        <v>104500</v>
      </c>
      <c r="M466" s="3">
        <v>62000</v>
      </c>
      <c r="N466">
        <v>0.05</v>
      </c>
      <c r="O466" t="s">
        <v>52</v>
      </c>
      <c r="P466" t="s">
        <v>48</v>
      </c>
      <c r="Q466" s="3">
        <f>Table13[[#This Row],[Quantity]]*Table13[[#This Row],[UnitPrice_NGN]]</f>
        <v>627000</v>
      </c>
      <c r="R466" s="9">
        <f>Table13[[#This Row],[GrossRevenue]]*(1-Table13[[#This Row],[DiscountRate]])</f>
        <v>595650</v>
      </c>
      <c r="S466" s="3">
        <f>Table13[[#This Row],[Quantity]]*Table13[[#This Row],[UnitCost_NGN]]</f>
        <v>372000</v>
      </c>
      <c r="T466" s="3">
        <f>Table13[[#This Row],[NetRevenue]]-Table13[[#This Row],[TotalCost]]</f>
        <v>223650</v>
      </c>
      <c r="U466" s="3"/>
    </row>
    <row r="467" spans="1:21" x14ac:dyDescent="0.25">
      <c r="A467" t="s">
        <v>829</v>
      </c>
      <c r="B467" s="20">
        <v>45822</v>
      </c>
      <c r="C467" t="s">
        <v>18</v>
      </c>
      <c r="D467" t="s">
        <v>110</v>
      </c>
      <c r="E467" t="s">
        <v>111</v>
      </c>
      <c r="F467" t="s">
        <v>85</v>
      </c>
      <c r="G467" t="s">
        <v>22</v>
      </c>
      <c r="H467" t="s">
        <v>23</v>
      </c>
      <c r="I467" t="s">
        <v>24</v>
      </c>
      <c r="J467" t="s">
        <v>25</v>
      </c>
      <c r="K467">
        <v>4</v>
      </c>
      <c r="L467" s="3">
        <v>22000</v>
      </c>
      <c r="M467" s="3">
        <v>13650</v>
      </c>
      <c r="N467">
        <v>0</v>
      </c>
      <c r="O467" t="s">
        <v>148</v>
      </c>
      <c r="P467" t="s">
        <v>48</v>
      </c>
      <c r="Q467" s="3">
        <f>Table13[[#This Row],[Quantity]]*Table13[[#This Row],[UnitPrice_NGN]]</f>
        <v>88000</v>
      </c>
      <c r="R467" s="9">
        <f>Table13[[#This Row],[GrossRevenue]]*(1-Table13[[#This Row],[DiscountRate]])</f>
        <v>88000</v>
      </c>
      <c r="S467" s="3">
        <f>Table13[[#This Row],[Quantity]]*Table13[[#This Row],[UnitCost_NGN]]</f>
        <v>54600</v>
      </c>
      <c r="T467" s="3">
        <f>Table13[[#This Row],[NetRevenue]]-Table13[[#This Row],[TotalCost]]</f>
        <v>33400</v>
      </c>
      <c r="U467" s="3"/>
    </row>
    <row r="468" spans="1:21" x14ac:dyDescent="0.25">
      <c r="A468" t="s">
        <v>830</v>
      </c>
      <c r="B468" s="20">
        <v>45662</v>
      </c>
      <c r="C468" t="s">
        <v>18</v>
      </c>
      <c r="D468" t="s">
        <v>19</v>
      </c>
      <c r="E468" t="s">
        <v>20</v>
      </c>
      <c r="F468" t="s">
        <v>21</v>
      </c>
      <c r="G468" t="s">
        <v>44</v>
      </c>
      <c r="H468" t="s">
        <v>96</v>
      </c>
      <c r="I468" t="s">
        <v>75</v>
      </c>
      <c r="J468" t="s">
        <v>36</v>
      </c>
      <c r="K468">
        <v>2</v>
      </c>
      <c r="L468" s="3">
        <v>171000</v>
      </c>
      <c r="M468" s="3">
        <v>136500</v>
      </c>
      <c r="N468">
        <v>0.15</v>
      </c>
      <c r="O468" t="s">
        <v>37</v>
      </c>
      <c r="P468" t="s">
        <v>48</v>
      </c>
      <c r="Q468" s="3">
        <f>Table13[[#This Row],[Quantity]]*Table13[[#This Row],[UnitPrice_NGN]]</f>
        <v>342000</v>
      </c>
      <c r="R468" s="9">
        <f>Table13[[#This Row],[GrossRevenue]]*(1-Table13[[#This Row],[DiscountRate]])</f>
        <v>290700</v>
      </c>
      <c r="S468" s="3">
        <f>Table13[[#This Row],[Quantity]]*Table13[[#This Row],[UnitCost_NGN]]</f>
        <v>273000</v>
      </c>
      <c r="T468" s="3">
        <f>Table13[[#This Row],[NetRevenue]]-Table13[[#This Row],[TotalCost]]</f>
        <v>17700</v>
      </c>
      <c r="U468" s="3"/>
    </row>
    <row r="469" spans="1:21" x14ac:dyDescent="0.25">
      <c r="A469" t="s">
        <v>832</v>
      </c>
      <c r="B469" s="20">
        <v>45895</v>
      </c>
      <c r="C469" t="s">
        <v>18</v>
      </c>
      <c r="D469" t="s">
        <v>88</v>
      </c>
      <c r="E469" t="s">
        <v>89</v>
      </c>
      <c r="F469" t="s">
        <v>43</v>
      </c>
      <c r="G469" t="s">
        <v>62</v>
      </c>
      <c r="H469" t="s">
        <v>96</v>
      </c>
      <c r="I469" t="s">
        <v>113</v>
      </c>
      <c r="J469" t="s">
        <v>36</v>
      </c>
      <c r="K469">
        <v>3</v>
      </c>
      <c r="L469" s="3">
        <v>176000</v>
      </c>
      <c r="M469" s="3">
        <v>120750</v>
      </c>
      <c r="N469">
        <v>0</v>
      </c>
      <c r="O469" t="s">
        <v>90</v>
      </c>
      <c r="P469" t="s">
        <v>27</v>
      </c>
      <c r="Q469" s="3">
        <f>Table13[[#This Row],[Quantity]]*Table13[[#This Row],[UnitPrice_NGN]]</f>
        <v>528000</v>
      </c>
      <c r="R469" s="9">
        <f>Table13[[#This Row],[GrossRevenue]]*(1-Table13[[#This Row],[DiscountRate]])</f>
        <v>528000</v>
      </c>
      <c r="S469" s="3">
        <f>Table13[[#This Row],[Quantity]]*Table13[[#This Row],[UnitCost_NGN]]</f>
        <v>362250</v>
      </c>
      <c r="T469" s="3">
        <f>Table13[[#This Row],[NetRevenue]]-Table13[[#This Row],[TotalCost]]</f>
        <v>165750</v>
      </c>
      <c r="U469" s="3"/>
    </row>
    <row r="470" spans="1:21" x14ac:dyDescent="0.25">
      <c r="A470" t="s">
        <v>833</v>
      </c>
      <c r="B470" s="20">
        <v>45756</v>
      </c>
      <c r="C470" t="s">
        <v>40</v>
      </c>
      <c r="D470" t="s">
        <v>41</v>
      </c>
      <c r="E470" t="s">
        <v>42</v>
      </c>
      <c r="F470" t="s">
        <v>43</v>
      </c>
      <c r="G470" t="s">
        <v>22</v>
      </c>
      <c r="H470" t="s">
        <v>96</v>
      </c>
      <c r="I470" t="s">
        <v>35</v>
      </c>
      <c r="J470" t="s">
        <v>36</v>
      </c>
      <c r="K470">
        <v>6</v>
      </c>
      <c r="L470" s="3">
        <v>405000</v>
      </c>
      <c r="M470" s="3">
        <v>367500</v>
      </c>
      <c r="N470">
        <v>0</v>
      </c>
      <c r="O470" t="s">
        <v>64</v>
      </c>
      <c r="P470" t="s">
        <v>48</v>
      </c>
      <c r="Q470" s="3">
        <f>Table13[[#This Row],[Quantity]]*Table13[[#This Row],[UnitPrice_NGN]]</f>
        <v>2430000</v>
      </c>
      <c r="R470" s="9">
        <f>Table13[[#This Row],[GrossRevenue]]*(1-Table13[[#This Row],[DiscountRate]])</f>
        <v>2430000</v>
      </c>
      <c r="S470" s="3">
        <f>Table13[[#This Row],[Quantity]]*Table13[[#This Row],[UnitCost_NGN]]</f>
        <v>2205000</v>
      </c>
      <c r="T470" s="3">
        <f>Table13[[#This Row],[NetRevenue]]-Table13[[#This Row],[TotalCost]]</f>
        <v>225000</v>
      </c>
      <c r="U470" s="3"/>
    </row>
    <row r="471" spans="1:21" x14ac:dyDescent="0.25">
      <c r="A471" t="s">
        <v>834</v>
      </c>
      <c r="B471" s="20">
        <v>45706</v>
      </c>
      <c r="C471" t="s">
        <v>30</v>
      </c>
      <c r="D471" t="s">
        <v>110</v>
      </c>
      <c r="E471" t="s">
        <v>111</v>
      </c>
      <c r="F471" t="s">
        <v>85</v>
      </c>
      <c r="G471" t="s">
        <v>44</v>
      </c>
      <c r="H471" t="s">
        <v>112</v>
      </c>
      <c r="I471" t="s">
        <v>55</v>
      </c>
      <c r="J471" t="s">
        <v>56</v>
      </c>
      <c r="K471">
        <v>2</v>
      </c>
      <c r="L471" s="3">
        <v>43200</v>
      </c>
      <c r="M471" s="3">
        <v>30000</v>
      </c>
      <c r="N471">
        <v>0.05</v>
      </c>
      <c r="O471" t="s">
        <v>26</v>
      </c>
      <c r="P471" t="s">
        <v>133</v>
      </c>
      <c r="Q471" s="3">
        <f>Table13[[#This Row],[Quantity]]*Table13[[#This Row],[UnitPrice_NGN]]</f>
        <v>86400</v>
      </c>
      <c r="R471" s="9">
        <f>Table13[[#This Row],[GrossRevenue]]*(1-Table13[[#This Row],[DiscountRate]])</f>
        <v>82080</v>
      </c>
      <c r="S471" s="3">
        <f>Table13[[#This Row],[Quantity]]*Table13[[#This Row],[UnitCost_NGN]]</f>
        <v>60000</v>
      </c>
      <c r="T471" s="3">
        <f>Table13[[#This Row],[NetRevenue]]-Table13[[#This Row],[TotalCost]]</f>
        <v>22080</v>
      </c>
      <c r="U471" s="3"/>
    </row>
    <row r="472" spans="1:21" x14ac:dyDescent="0.25">
      <c r="A472" t="s">
        <v>835</v>
      </c>
      <c r="B472" s="20">
        <v>45939</v>
      </c>
      <c r="C472" t="s">
        <v>18</v>
      </c>
      <c r="D472" t="s">
        <v>41</v>
      </c>
      <c r="E472" t="s">
        <v>42</v>
      </c>
      <c r="F472" t="s">
        <v>43</v>
      </c>
      <c r="G472" t="s">
        <v>62</v>
      </c>
      <c r="H472" t="s">
        <v>112</v>
      </c>
      <c r="I472" t="s">
        <v>24</v>
      </c>
      <c r="J472" t="s">
        <v>25</v>
      </c>
      <c r="K472">
        <v>12</v>
      </c>
      <c r="L472" s="3">
        <v>20900</v>
      </c>
      <c r="M472" s="3">
        <v>12350</v>
      </c>
      <c r="N472">
        <v>0.15</v>
      </c>
      <c r="O472" t="s">
        <v>57</v>
      </c>
      <c r="P472" t="s">
        <v>133</v>
      </c>
      <c r="Q472" s="3">
        <f>Table13[[#This Row],[Quantity]]*Table13[[#This Row],[UnitPrice_NGN]]</f>
        <v>250800</v>
      </c>
      <c r="R472" s="9">
        <f>Table13[[#This Row],[GrossRevenue]]*(1-Table13[[#This Row],[DiscountRate]])</f>
        <v>213180</v>
      </c>
      <c r="S472" s="3">
        <f>Table13[[#This Row],[Quantity]]*Table13[[#This Row],[UnitCost_NGN]]</f>
        <v>148200</v>
      </c>
      <c r="T472" s="3">
        <f>Table13[[#This Row],[NetRevenue]]-Table13[[#This Row],[TotalCost]]</f>
        <v>64980</v>
      </c>
      <c r="U472" s="3"/>
    </row>
    <row r="473" spans="1:21" x14ac:dyDescent="0.25">
      <c r="A473" t="s">
        <v>836</v>
      </c>
      <c r="B473" s="20">
        <v>45778</v>
      </c>
      <c r="C473" t="s">
        <v>40</v>
      </c>
      <c r="D473" t="s">
        <v>88</v>
      </c>
      <c r="E473" t="s">
        <v>89</v>
      </c>
      <c r="F473" t="s">
        <v>43</v>
      </c>
      <c r="G473" t="s">
        <v>62</v>
      </c>
      <c r="H473" t="s">
        <v>96</v>
      </c>
      <c r="I473" t="s">
        <v>113</v>
      </c>
      <c r="J473" t="s">
        <v>36</v>
      </c>
      <c r="K473">
        <v>10</v>
      </c>
      <c r="L473" s="3">
        <v>176000</v>
      </c>
      <c r="M473" s="3">
        <v>115000</v>
      </c>
      <c r="N473">
        <v>0</v>
      </c>
      <c r="O473" t="s">
        <v>90</v>
      </c>
      <c r="P473" t="s">
        <v>27</v>
      </c>
      <c r="Q473" s="3">
        <f>Table13[[#This Row],[Quantity]]*Table13[[#This Row],[UnitPrice_NGN]]</f>
        <v>1760000</v>
      </c>
      <c r="R473" s="9">
        <f>Table13[[#This Row],[GrossRevenue]]*(1-Table13[[#This Row],[DiscountRate]])</f>
        <v>1760000</v>
      </c>
      <c r="S473" s="3">
        <f>Table13[[#This Row],[Quantity]]*Table13[[#This Row],[UnitCost_NGN]]</f>
        <v>1150000</v>
      </c>
      <c r="T473" s="3">
        <f>Table13[[#This Row],[NetRevenue]]-Table13[[#This Row],[TotalCost]]</f>
        <v>610000</v>
      </c>
      <c r="U473" s="3"/>
    </row>
    <row r="474" spans="1:21" x14ac:dyDescent="0.25">
      <c r="A474" t="s">
        <v>837</v>
      </c>
      <c r="B474" s="20">
        <v>45679</v>
      </c>
      <c r="C474" t="s">
        <v>30</v>
      </c>
      <c r="D474" t="s">
        <v>131</v>
      </c>
      <c r="E474" t="s">
        <v>132</v>
      </c>
      <c r="F474" t="s">
        <v>80</v>
      </c>
      <c r="G474" t="s">
        <v>33</v>
      </c>
      <c r="H474" t="s">
        <v>23</v>
      </c>
      <c r="I474" t="s">
        <v>70</v>
      </c>
      <c r="J474" t="s">
        <v>71</v>
      </c>
      <c r="K474">
        <v>1</v>
      </c>
      <c r="L474" s="3">
        <v>104500</v>
      </c>
      <c r="M474" s="3">
        <v>62000</v>
      </c>
      <c r="N474">
        <v>0</v>
      </c>
      <c r="O474" t="s">
        <v>90</v>
      </c>
      <c r="P474" t="s">
        <v>133</v>
      </c>
      <c r="Q474" s="3">
        <f>Table13[[#This Row],[Quantity]]*Table13[[#This Row],[UnitPrice_NGN]]</f>
        <v>104500</v>
      </c>
      <c r="R474" s="9">
        <f>Table13[[#This Row],[GrossRevenue]]*(1-Table13[[#This Row],[DiscountRate]])</f>
        <v>104500</v>
      </c>
      <c r="S474" s="3">
        <f>Table13[[#This Row],[Quantity]]*Table13[[#This Row],[UnitCost_NGN]]</f>
        <v>62000</v>
      </c>
      <c r="T474" s="3">
        <f>Table13[[#This Row],[NetRevenue]]-Table13[[#This Row],[TotalCost]]</f>
        <v>42500</v>
      </c>
      <c r="U474" s="3"/>
    </row>
    <row r="475" spans="1:21" x14ac:dyDescent="0.25">
      <c r="A475" t="s">
        <v>838</v>
      </c>
      <c r="B475" s="20">
        <v>45974</v>
      </c>
      <c r="C475" t="s">
        <v>30</v>
      </c>
      <c r="D475" t="s">
        <v>19</v>
      </c>
      <c r="E475" t="s">
        <v>20</v>
      </c>
      <c r="F475" t="s">
        <v>21</v>
      </c>
      <c r="G475" t="s">
        <v>22</v>
      </c>
      <c r="H475" t="s">
        <v>96</v>
      </c>
      <c r="I475" t="s">
        <v>105</v>
      </c>
      <c r="J475" t="s">
        <v>71</v>
      </c>
      <c r="K475">
        <v>2</v>
      </c>
      <c r="L475" s="3">
        <v>175000</v>
      </c>
      <c r="M475" s="3">
        <v>114000</v>
      </c>
      <c r="N475">
        <v>0.15</v>
      </c>
      <c r="O475" t="s">
        <v>47</v>
      </c>
      <c r="P475" t="s">
        <v>48</v>
      </c>
      <c r="Q475" s="3">
        <f>Table13[[#This Row],[Quantity]]*Table13[[#This Row],[UnitPrice_NGN]]</f>
        <v>350000</v>
      </c>
      <c r="R475" s="9">
        <f>Table13[[#This Row],[GrossRevenue]]*(1-Table13[[#This Row],[DiscountRate]])</f>
        <v>297500</v>
      </c>
      <c r="S475" s="3">
        <f>Table13[[#This Row],[Quantity]]*Table13[[#This Row],[UnitCost_NGN]]</f>
        <v>228000</v>
      </c>
      <c r="T475" s="3">
        <f>Table13[[#This Row],[NetRevenue]]-Table13[[#This Row],[TotalCost]]</f>
        <v>69500</v>
      </c>
      <c r="U475" s="3"/>
    </row>
    <row r="476" spans="1:21" x14ac:dyDescent="0.25">
      <c r="A476" t="s">
        <v>839</v>
      </c>
      <c r="B476" s="20">
        <v>45907</v>
      </c>
      <c r="C476" t="s">
        <v>40</v>
      </c>
      <c r="D476" t="s">
        <v>157</v>
      </c>
      <c r="E476" t="s">
        <v>158</v>
      </c>
      <c r="F476" t="s">
        <v>21</v>
      </c>
      <c r="G476" t="s">
        <v>62</v>
      </c>
      <c r="H476" t="s">
        <v>112</v>
      </c>
      <c r="I476" t="s">
        <v>24</v>
      </c>
      <c r="J476" t="s">
        <v>25</v>
      </c>
      <c r="K476">
        <v>5</v>
      </c>
      <c r="L476" s="3">
        <v>24200</v>
      </c>
      <c r="M476" s="3">
        <v>12350</v>
      </c>
      <c r="N476">
        <v>0</v>
      </c>
      <c r="O476" t="s">
        <v>64</v>
      </c>
      <c r="P476" t="s">
        <v>48</v>
      </c>
      <c r="Q476" s="3">
        <f>Table13[[#This Row],[Quantity]]*Table13[[#This Row],[UnitPrice_NGN]]</f>
        <v>121000</v>
      </c>
      <c r="R476" s="9">
        <f>Table13[[#This Row],[GrossRevenue]]*(1-Table13[[#This Row],[DiscountRate]])</f>
        <v>121000</v>
      </c>
      <c r="S476" s="3">
        <f>Table13[[#This Row],[Quantity]]*Table13[[#This Row],[UnitCost_NGN]]</f>
        <v>61750</v>
      </c>
      <c r="T476" s="3">
        <f>Table13[[#This Row],[NetRevenue]]-Table13[[#This Row],[TotalCost]]</f>
        <v>59250</v>
      </c>
      <c r="U476" s="3"/>
    </row>
    <row r="477" spans="1:21" x14ac:dyDescent="0.25">
      <c r="A477" t="s">
        <v>840</v>
      </c>
      <c r="B477" s="20">
        <v>45678</v>
      </c>
      <c r="C477" t="s">
        <v>30</v>
      </c>
      <c r="D477" t="s">
        <v>136</v>
      </c>
      <c r="E477" t="s">
        <v>137</v>
      </c>
      <c r="F477" t="s">
        <v>122</v>
      </c>
      <c r="G477" t="s">
        <v>33</v>
      </c>
      <c r="H477" t="s">
        <v>23</v>
      </c>
      <c r="I477" t="s">
        <v>35</v>
      </c>
      <c r="J477" t="s">
        <v>36</v>
      </c>
      <c r="K477">
        <v>3</v>
      </c>
      <c r="L477" s="3">
        <v>472500</v>
      </c>
      <c r="M477" s="3">
        <v>350000</v>
      </c>
      <c r="N477">
        <v>0</v>
      </c>
      <c r="O477" t="s">
        <v>57</v>
      </c>
      <c r="P477" t="s">
        <v>72</v>
      </c>
      <c r="Q477" s="3">
        <f>Table13[[#This Row],[Quantity]]*Table13[[#This Row],[UnitPrice_NGN]]</f>
        <v>1417500</v>
      </c>
      <c r="R477" s="9">
        <f>Table13[[#This Row],[GrossRevenue]]*(1-Table13[[#This Row],[DiscountRate]])</f>
        <v>1417500</v>
      </c>
      <c r="S477" s="3">
        <f>Table13[[#This Row],[Quantity]]*Table13[[#This Row],[UnitCost_NGN]]</f>
        <v>1050000</v>
      </c>
      <c r="T477" s="3">
        <f>Table13[[#This Row],[NetRevenue]]-Table13[[#This Row],[TotalCost]]</f>
        <v>367500</v>
      </c>
      <c r="U477" s="3"/>
    </row>
    <row r="478" spans="1:21" x14ac:dyDescent="0.25">
      <c r="A478" t="s">
        <v>841</v>
      </c>
      <c r="B478" s="20">
        <v>45836</v>
      </c>
      <c r="C478" t="s">
        <v>30</v>
      </c>
      <c r="D478" t="s">
        <v>136</v>
      </c>
      <c r="E478" t="s">
        <v>137</v>
      </c>
      <c r="F478" t="s">
        <v>122</v>
      </c>
      <c r="G478" t="s">
        <v>33</v>
      </c>
      <c r="H478" t="s">
        <v>63</v>
      </c>
      <c r="I478" t="s">
        <v>93</v>
      </c>
      <c r="J478" t="s">
        <v>46</v>
      </c>
      <c r="K478">
        <v>3</v>
      </c>
      <c r="L478" s="3">
        <v>95000</v>
      </c>
      <c r="M478" s="3">
        <v>82000</v>
      </c>
      <c r="N478">
        <v>0.1</v>
      </c>
      <c r="O478" t="s">
        <v>90</v>
      </c>
      <c r="P478" t="s">
        <v>48</v>
      </c>
      <c r="Q478" s="3">
        <f>Table13[[#This Row],[Quantity]]*Table13[[#This Row],[UnitPrice_NGN]]</f>
        <v>285000</v>
      </c>
      <c r="R478" s="9">
        <f>Table13[[#This Row],[GrossRevenue]]*(1-Table13[[#This Row],[DiscountRate]])</f>
        <v>256500</v>
      </c>
      <c r="S478" s="3">
        <f>Table13[[#This Row],[Quantity]]*Table13[[#This Row],[UnitCost_NGN]]</f>
        <v>246000</v>
      </c>
      <c r="T478" s="3">
        <f>Table13[[#This Row],[NetRevenue]]-Table13[[#This Row],[TotalCost]]</f>
        <v>10500</v>
      </c>
      <c r="U478" s="3"/>
    </row>
    <row r="479" spans="1:21" x14ac:dyDescent="0.25">
      <c r="A479" t="s">
        <v>843</v>
      </c>
      <c r="B479" s="20">
        <v>45845</v>
      </c>
      <c r="C479" t="s">
        <v>18</v>
      </c>
      <c r="D479" t="s">
        <v>78</v>
      </c>
      <c r="E479" t="s">
        <v>79</v>
      </c>
      <c r="F479" t="s">
        <v>80</v>
      </c>
      <c r="G479" t="s">
        <v>33</v>
      </c>
      <c r="H479" t="s">
        <v>34</v>
      </c>
      <c r="I479" t="s">
        <v>51</v>
      </c>
      <c r="J479" t="s">
        <v>36</v>
      </c>
      <c r="K479">
        <v>1</v>
      </c>
      <c r="L479" s="3">
        <v>280000</v>
      </c>
      <c r="M479" s="3">
        <v>210000</v>
      </c>
      <c r="N479">
        <v>0.1</v>
      </c>
      <c r="O479" t="s">
        <v>148</v>
      </c>
      <c r="P479" t="s">
        <v>72</v>
      </c>
      <c r="Q479" s="3">
        <f>Table13[[#This Row],[Quantity]]*Table13[[#This Row],[UnitPrice_NGN]]</f>
        <v>280000</v>
      </c>
      <c r="R479" s="9">
        <f>Table13[[#This Row],[GrossRevenue]]*(1-Table13[[#This Row],[DiscountRate]])</f>
        <v>252000</v>
      </c>
      <c r="S479" s="3">
        <f>Table13[[#This Row],[Quantity]]*Table13[[#This Row],[UnitCost_NGN]]</f>
        <v>210000</v>
      </c>
      <c r="T479" s="3">
        <f>Table13[[#This Row],[NetRevenue]]-Table13[[#This Row],[TotalCost]]</f>
        <v>42000</v>
      </c>
      <c r="U479" s="3"/>
    </row>
    <row r="480" spans="1:21" x14ac:dyDescent="0.25">
      <c r="A480" t="s">
        <v>844</v>
      </c>
      <c r="B480" s="20">
        <v>45690</v>
      </c>
      <c r="C480" t="s">
        <v>30</v>
      </c>
      <c r="D480" t="s">
        <v>88</v>
      </c>
      <c r="E480" t="s">
        <v>89</v>
      </c>
      <c r="F480" t="s">
        <v>43</v>
      </c>
      <c r="G480" t="s">
        <v>33</v>
      </c>
      <c r="H480" t="s">
        <v>34</v>
      </c>
      <c r="I480" t="s">
        <v>45</v>
      </c>
      <c r="J480" t="s">
        <v>46</v>
      </c>
      <c r="K480">
        <v>6</v>
      </c>
      <c r="L480" s="3">
        <v>17575</v>
      </c>
      <c r="M480" s="3">
        <v>14500</v>
      </c>
      <c r="N480">
        <v>0.15</v>
      </c>
      <c r="O480" t="s">
        <v>37</v>
      </c>
      <c r="P480" t="s">
        <v>27</v>
      </c>
      <c r="Q480" s="3">
        <f>Table13[[#This Row],[Quantity]]*Table13[[#This Row],[UnitPrice_NGN]]</f>
        <v>105450</v>
      </c>
      <c r="R480" s="9">
        <f>Table13[[#This Row],[GrossRevenue]]*(1-Table13[[#This Row],[DiscountRate]])</f>
        <v>89632.5</v>
      </c>
      <c r="S480" s="3">
        <f>Table13[[#This Row],[Quantity]]*Table13[[#This Row],[UnitCost_NGN]]</f>
        <v>87000</v>
      </c>
      <c r="T480" s="3">
        <f>Table13[[#This Row],[NetRevenue]]-Table13[[#This Row],[TotalCost]]</f>
        <v>2632.5</v>
      </c>
      <c r="U480" s="3"/>
    </row>
    <row r="481" spans="1:21" x14ac:dyDescent="0.25">
      <c r="A481" t="s">
        <v>846</v>
      </c>
      <c r="B481" s="20">
        <v>45822</v>
      </c>
      <c r="C481" t="s">
        <v>18</v>
      </c>
      <c r="D481" t="s">
        <v>157</v>
      </c>
      <c r="E481" t="s">
        <v>158</v>
      </c>
      <c r="F481" t="s">
        <v>21</v>
      </c>
      <c r="G481" t="s">
        <v>22</v>
      </c>
      <c r="H481" t="s">
        <v>96</v>
      </c>
      <c r="I481" t="s">
        <v>93</v>
      </c>
      <c r="J481" t="s">
        <v>46</v>
      </c>
      <c r="K481">
        <v>4</v>
      </c>
      <c r="L481" s="3">
        <v>95000</v>
      </c>
      <c r="M481" s="3">
        <v>86100</v>
      </c>
      <c r="N481">
        <v>0.15</v>
      </c>
      <c r="O481" t="s">
        <v>90</v>
      </c>
      <c r="P481" t="s">
        <v>48</v>
      </c>
      <c r="Q481" s="3">
        <f>Table13[[#This Row],[Quantity]]*Table13[[#This Row],[UnitPrice_NGN]]</f>
        <v>380000</v>
      </c>
      <c r="R481" s="9">
        <f>Table13[[#This Row],[GrossRevenue]]*(1-Table13[[#This Row],[DiscountRate]])</f>
        <v>323000</v>
      </c>
      <c r="S481" s="3">
        <f>Table13[[#This Row],[Quantity]]*Table13[[#This Row],[UnitCost_NGN]]</f>
        <v>344400</v>
      </c>
      <c r="T481" s="3">
        <f>Table13[[#This Row],[NetRevenue]]-Table13[[#This Row],[TotalCost]]</f>
        <v>-21400</v>
      </c>
      <c r="U481" s="3"/>
    </row>
    <row r="482" spans="1:21" x14ac:dyDescent="0.25">
      <c r="A482" t="s">
        <v>847</v>
      </c>
      <c r="B482" s="20">
        <v>45674</v>
      </c>
      <c r="C482" t="s">
        <v>30</v>
      </c>
      <c r="D482" t="s">
        <v>31</v>
      </c>
      <c r="E482" t="s">
        <v>32</v>
      </c>
      <c r="F482" t="s">
        <v>21</v>
      </c>
      <c r="G482" t="s">
        <v>33</v>
      </c>
      <c r="H482" t="s">
        <v>112</v>
      </c>
      <c r="I482" t="s">
        <v>75</v>
      </c>
      <c r="J482" t="s">
        <v>36</v>
      </c>
      <c r="K482">
        <v>2</v>
      </c>
      <c r="L482" s="3">
        <v>180000</v>
      </c>
      <c r="M482" s="3">
        <v>130000</v>
      </c>
      <c r="N482">
        <v>0</v>
      </c>
      <c r="O482" t="s">
        <v>57</v>
      </c>
      <c r="P482" t="s">
        <v>133</v>
      </c>
      <c r="Q482" s="3">
        <f>Table13[[#This Row],[Quantity]]*Table13[[#This Row],[UnitPrice_NGN]]</f>
        <v>360000</v>
      </c>
      <c r="R482" s="9">
        <f>Table13[[#This Row],[GrossRevenue]]*(1-Table13[[#This Row],[DiscountRate]])</f>
        <v>360000</v>
      </c>
      <c r="S482" s="3">
        <f>Table13[[#This Row],[Quantity]]*Table13[[#This Row],[UnitCost_NGN]]</f>
        <v>260000</v>
      </c>
      <c r="T482" s="3">
        <f>Table13[[#This Row],[NetRevenue]]-Table13[[#This Row],[TotalCost]]</f>
        <v>100000</v>
      </c>
      <c r="U482" s="3"/>
    </row>
    <row r="483" spans="1:21" x14ac:dyDescent="0.25">
      <c r="A483" t="s">
        <v>849</v>
      </c>
      <c r="B483" s="20">
        <v>45764</v>
      </c>
      <c r="C483" t="s">
        <v>40</v>
      </c>
      <c r="D483" t="s">
        <v>88</v>
      </c>
      <c r="E483" t="s">
        <v>89</v>
      </c>
      <c r="F483" t="s">
        <v>43</v>
      </c>
      <c r="G483" t="s">
        <v>22</v>
      </c>
      <c r="H483" t="s">
        <v>112</v>
      </c>
      <c r="I483" t="s">
        <v>35</v>
      </c>
      <c r="J483" t="s">
        <v>36</v>
      </c>
      <c r="K483">
        <v>2</v>
      </c>
      <c r="L483" s="3">
        <v>472500</v>
      </c>
      <c r="M483" s="3">
        <v>332500</v>
      </c>
      <c r="N483">
        <v>0</v>
      </c>
      <c r="O483" t="s">
        <v>148</v>
      </c>
      <c r="P483" t="s">
        <v>27</v>
      </c>
      <c r="Q483" s="3">
        <f>Table13[[#This Row],[Quantity]]*Table13[[#This Row],[UnitPrice_NGN]]</f>
        <v>945000</v>
      </c>
      <c r="R483" s="9">
        <f>Table13[[#This Row],[GrossRevenue]]*(1-Table13[[#This Row],[DiscountRate]])</f>
        <v>945000</v>
      </c>
      <c r="S483" s="3">
        <f>Table13[[#This Row],[Quantity]]*Table13[[#This Row],[UnitCost_NGN]]</f>
        <v>665000</v>
      </c>
      <c r="T483" s="3">
        <f>Table13[[#This Row],[NetRevenue]]-Table13[[#This Row],[TotalCost]]</f>
        <v>280000</v>
      </c>
      <c r="U483" s="3"/>
    </row>
    <row r="484" spans="1:21" x14ac:dyDescent="0.25">
      <c r="A484" t="s">
        <v>850</v>
      </c>
      <c r="B484" s="20">
        <v>45687</v>
      </c>
      <c r="C484" t="s">
        <v>40</v>
      </c>
      <c r="D484" t="s">
        <v>78</v>
      </c>
      <c r="E484" t="s">
        <v>79</v>
      </c>
      <c r="F484" t="s">
        <v>80</v>
      </c>
      <c r="G484" t="s">
        <v>22</v>
      </c>
      <c r="H484" t="s">
        <v>96</v>
      </c>
      <c r="I484" t="s">
        <v>105</v>
      </c>
      <c r="J484" t="s">
        <v>71</v>
      </c>
      <c r="K484">
        <v>6</v>
      </c>
      <c r="L484" s="3">
        <v>175000</v>
      </c>
      <c r="M484" s="3">
        <v>120000</v>
      </c>
      <c r="N484">
        <v>0.15</v>
      </c>
      <c r="O484" t="s">
        <v>57</v>
      </c>
      <c r="P484" t="s">
        <v>133</v>
      </c>
      <c r="Q484" s="3">
        <f>Table13[[#This Row],[Quantity]]*Table13[[#This Row],[UnitPrice_NGN]]</f>
        <v>1050000</v>
      </c>
      <c r="R484" s="9">
        <f>Table13[[#This Row],[GrossRevenue]]*(1-Table13[[#This Row],[DiscountRate]])</f>
        <v>892500</v>
      </c>
      <c r="S484" s="3">
        <f>Table13[[#This Row],[Quantity]]*Table13[[#This Row],[UnitCost_NGN]]</f>
        <v>720000</v>
      </c>
      <c r="T484" s="3">
        <f>Table13[[#This Row],[NetRevenue]]-Table13[[#This Row],[TotalCost]]</f>
        <v>172500</v>
      </c>
      <c r="U484" s="3"/>
    </row>
    <row r="485" spans="1:21" x14ac:dyDescent="0.25">
      <c r="A485" t="s">
        <v>851</v>
      </c>
      <c r="B485" s="20">
        <v>45776</v>
      </c>
      <c r="C485" t="s">
        <v>40</v>
      </c>
      <c r="D485" t="s">
        <v>60</v>
      </c>
      <c r="E485" t="s">
        <v>61</v>
      </c>
      <c r="F485" t="s">
        <v>43</v>
      </c>
      <c r="G485" t="s">
        <v>44</v>
      </c>
      <c r="H485" t="s">
        <v>34</v>
      </c>
      <c r="I485" t="s">
        <v>51</v>
      </c>
      <c r="J485" t="s">
        <v>36</v>
      </c>
      <c r="K485">
        <v>12</v>
      </c>
      <c r="L485" s="3">
        <v>252000</v>
      </c>
      <c r="M485" s="3">
        <v>199500</v>
      </c>
      <c r="N485">
        <v>0.15</v>
      </c>
      <c r="O485" t="s">
        <v>64</v>
      </c>
      <c r="P485" t="s">
        <v>133</v>
      </c>
      <c r="Q485" s="3">
        <f>Table13[[#This Row],[Quantity]]*Table13[[#This Row],[UnitPrice_NGN]]</f>
        <v>3024000</v>
      </c>
      <c r="R485" s="9">
        <f>Table13[[#This Row],[GrossRevenue]]*(1-Table13[[#This Row],[DiscountRate]])</f>
        <v>2570400</v>
      </c>
      <c r="S485" s="3">
        <f>Table13[[#This Row],[Quantity]]*Table13[[#This Row],[UnitCost_NGN]]</f>
        <v>2394000</v>
      </c>
      <c r="T485" s="3">
        <f>Table13[[#This Row],[NetRevenue]]-Table13[[#This Row],[TotalCost]]</f>
        <v>176400</v>
      </c>
      <c r="U485" s="3"/>
    </row>
    <row r="486" spans="1:21" x14ac:dyDescent="0.25">
      <c r="A486" t="s">
        <v>853</v>
      </c>
      <c r="B486" s="20">
        <v>45712</v>
      </c>
      <c r="C486" t="s">
        <v>30</v>
      </c>
      <c r="D486" t="s">
        <v>120</v>
      </c>
      <c r="E486" t="s">
        <v>121</v>
      </c>
      <c r="F486" t="s">
        <v>122</v>
      </c>
      <c r="G486" t="s">
        <v>62</v>
      </c>
      <c r="H486" t="s">
        <v>112</v>
      </c>
      <c r="I486" t="s">
        <v>45</v>
      </c>
      <c r="J486" t="s">
        <v>46</v>
      </c>
      <c r="K486">
        <v>12</v>
      </c>
      <c r="L486" s="3">
        <v>18500</v>
      </c>
      <c r="M486" s="3">
        <v>15225</v>
      </c>
      <c r="N486">
        <v>0.15</v>
      </c>
      <c r="O486" t="s">
        <v>26</v>
      </c>
      <c r="P486" t="s">
        <v>27</v>
      </c>
      <c r="Q486" s="3">
        <f>Table13[[#This Row],[Quantity]]*Table13[[#This Row],[UnitPrice_NGN]]</f>
        <v>222000</v>
      </c>
      <c r="R486" s="9">
        <f>Table13[[#This Row],[GrossRevenue]]*(1-Table13[[#This Row],[DiscountRate]])</f>
        <v>188700</v>
      </c>
      <c r="S486" s="3">
        <f>Table13[[#This Row],[Quantity]]*Table13[[#This Row],[UnitCost_NGN]]</f>
        <v>182700</v>
      </c>
      <c r="T486" s="3">
        <f>Table13[[#This Row],[NetRevenue]]-Table13[[#This Row],[TotalCost]]</f>
        <v>6000</v>
      </c>
      <c r="U486" s="3"/>
    </row>
    <row r="487" spans="1:21" x14ac:dyDescent="0.25">
      <c r="A487" t="s">
        <v>854</v>
      </c>
      <c r="B487" s="20">
        <v>45830</v>
      </c>
      <c r="C487" t="s">
        <v>18</v>
      </c>
      <c r="D487" t="s">
        <v>157</v>
      </c>
      <c r="E487" t="s">
        <v>158</v>
      </c>
      <c r="F487" t="s">
        <v>21</v>
      </c>
      <c r="G487" t="s">
        <v>33</v>
      </c>
      <c r="H487" t="s">
        <v>63</v>
      </c>
      <c r="I487" t="s">
        <v>51</v>
      </c>
      <c r="J487" t="s">
        <v>36</v>
      </c>
      <c r="K487">
        <v>6</v>
      </c>
      <c r="L487" s="3">
        <v>280000</v>
      </c>
      <c r="M487" s="3">
        <v>220500</v>
      </c>
      <c r="N487">
        <v>0.1</v>
      </c>
      <c r="O487" t="s">
        <v>47</v>
      </c>
      <c r="P487" t="s">
        <v>27</v>
      </c>
      <c r="Q487" s="3">
        <f>Table13[[#This Row],[Quantity]]*Table13[[#This Row],[UnitPrice_NGN]]</f>
        <v>1680000</v>
      </c>
      <c r="R487" s="9">
        <f>Table13[[#This Row],[GrossRevenue]]*(1-Table13[[#This Row],[DiscountRate]])</f>
        <v>1512000</v>
      </c>
      <c r="S487" s="3">
        <f>Table13[[#This Row],[Quantity]]*Table13[[#This Row],[UnitCost_NGN]]</f>
        <v>1323000</v>
      </c>
      <c r="T487" s="3">
        <f>Table13[[#This Row],[NetRevenue]]-Table13[[#This Row],[TotalCost]]</f>
        <v>189000</v>
      </c>
      <c r="U487" s="3"/>
    </row>
    <row r="488" spans="1:21" x14ac:dyDescent="0.25">
      <c r="A488" t="s">
        <v>855</v>
      </c>
      <c r="B488" s="20">
        <v>45823</v>
      </c>
      <c r="C488" t="s">
        <v>18</v>
      </c>
      <c r="D488" t="s">
        <v>88</v>
      </c>
      <c r="E488" t="s">
        <v>89</v>
      </c>
      <c r="F488" t="s">
        <v>43</v>
      </c>
      <c r="G488" t="s">
        <v>44</v>
      </c>
      <c r="H488" t="s">
        <v>112</v>
      </c>
      <c r="I488" t="s">
        <v>93</v>
      </c>
      <c r="J488" t="s">
        <v>46</v>
      </c>
      <c r="K488">
        <v>8</v>
      </c>
      <c r="L488" s="3">
        <v>95000</v>
      </c>
      <c r="M488" s="3">
        <v>86100</v>
      </c>
      <c r="N488">
        <v>0.15</v>
      </c>
      <c r="O488" t="s">
        <v>57</v>
      </c>
      <c r="P488" t="s">
        <v>133</v>
      </c>
      <c r="Q488" s="3">
        <f>Table13[[#This Row],[Quantity]]*Table13[[#This Row],[UnitPrice_NGN]]</f>
        <v>760000</v>
      </c>
      <c r="R488" s="9">
        <f>Table13[[#This Row],[GrossRevenue]]*(1-Table13[[#This Row],[DiscountRate]])</f>
        <v>646000</v>
      </c>
      <c r="S488" s="3">
        <f>Table13[[#This Row],[Quantity]]*Table13[[#This Row],[UnitCost_NGN]]</f>
        <v>688800</v>
      </c>
      <c r="T488" s="3">
        <f>Table13[[#This Row],[NetRevenue]]-Table13[[#This Row],[TotalCost]]</f>
        <v>-42800</v>
      </c>
      <c r="U488" s="3"/>
    </row>
    <row r="489" spans="1:21" x14ac:dyDescent="0.25">
      <c r="A489" t="s">
        <v>857</v>
      </c>
      <c r="B489" s="20">
        <v>45675</v>
      </c>
      <c r="C489" t="s">
        <v>30</v>
      </c>
      <c r="D489" t="s">
        <v>110</v>
      </c>
      <c r="E489" t="s">
        <v>111</v>
      </c>
      <c r="F489" t="s">
        <v>85</v>
      </c>
      <c r="G489" t="s">
        <v>22</v>
      </c>
      <c r="H489" t="s">
        <v>23</v>
      </c>
      <c r="I489" t="s">
        <v>105</v>
      </c>
      <c r="J489" t="s">
        <v>71</v>
      </c>
      <c r="K489">
        <v>3</v>
      </c>
      <c r="L489" s="3">
        <v>175000</v>
      </c>
      <c r="M489" s="3">
        <v>114000</v>
      </c>
      <c r="N489">
        <v>0.15</v>
      </c>
      <c r="O489" t="s">
        <v>90</v>
      </c>
      <c r="P489" t="s">
        <v>48</v>
      </c>
      <c r="Q489" s="3">
        <f>Table13[[#This Row],[Quantity]]*Table13[[#This Row],[UnitPrice_NGN]]</f>
        <v>525000</v>
      </c>
      <c r="R489" s="9">
        <f>Table13[[#This Row],[GrossRevenue]]*(1-Table13[[#This Row],[DiscountRate]])</f>
        <v>446250</v>
      </c>
      <c r="S489" s="3">
        <f>Table13[[#This Row],[Quantity]]*Table13[[#This Row],[UnitCost_NGN]]</f>
        <v>342000</v>
      </c>
      <c r="T489" s="3">
        <f>Table13[[#This Row],[NetRevenue]]-Table13[[#This Row],[TotalCost]]</f>
        <v>104250</v>
      </c>
      <c r="U489" s="3"/>
    </row>
    <row r="490" spans="1:21" x14ac:dyDescent="0.25">
      <c r="A490" t="s">
        <v>859</v>
      </c>
      <c r="B490" s="20">
        <v>45669</v>
      </c>
      <c r="C490" t="s">
        <v>40</v>
      </c>
      <c r="D490" t="s">
        <v>31</v>
      </c>
      <c r="E490" t="s">
        <v>32</v>
      </c>
      <c r="F490" t="s">
        <v>21</v>
      </c>
      <c r="G490" t="s">
        <v>44</v>
      </c>
      <c r="H490" t="s">
        <v>96</v>
      </c>
      <c r="I490" t="s">
        <v>70</v>
      </c>
      <c r="J490" t="s">
        <v>71</v>
      </c>
      <c r="K490">
        <v>2</v>
      </c>
      <c r="L490" s="3">
        <v>90250</v>
      </c>
      <c r="M490" s="3">
        <v>62000</v>
      </c>
      <c r="N490">
        <v>0</v>
      </c>
      <c r="O490" t="s">
        <v>148</v>
      </c>
      <c r="P490" t="s">
        <v>27</v>
      </c>
      <c r="Q490" s="3">
        <f>Table13[[#This Row],[Quantity]]*Table13[[#This Row],[UnitPrice_NGN]]</f>
        <v>180500</v>
      </c>
      <c r="R490" s="9">
        <f>Table13[[#This Row],[GrossRevenue]]*(1-Table13[[#This Row],[DiscountRate]])</f>
        <v>180500</v>
      </c>
      <c r="S490" s="3">
        <f>Table13[[#This Row],[Quantity]]*Table13[[#This Row],[UnitCost_NGN]]</f>
        <v>124000</v>
      </c>
      <c r="T490" s="3">
        <f>Table13[[#This Row],[NetRevenue]]-Table13[[#This Row],[TotalCost]]</f>
        <v>56500</v>
      </c>
      <c r="U490" s="3"/>
    </row>
    <row r="491" spans="1:21" x14ac:dyDescent="0.25">
      <c r="A491" t="s">
        <v>860</v>
      </c>
      <c r="B491" s="20">
        <v>45785</v>
      </c>
      <c r="C491" t="s">
        <v>40</v>
      </c>
      <c r="D491" t="s">
        <v>88</v>
      </c>
      <c r="E491" t="s">
        <v>89</v>
      </c>
      <c r="F491" t="s">
        <v>43</v>
      </c>
      <c r="G491" t="s">
        <v>62</v>
      </c>
      <c r="H491" t="s">
        <v>96</v>
      </c>
      <c r="I491" t="s">
        <v>97</v>
      </c>
      <c r="J491" t="s">
        <v>56</v>
      </c>
      <c r="K491">
        <v>1</v>
      </c>
      <c r="L491" s="3">
        <v>125000</v>
      </c>
      <c r="M491" s="3">
        <v>85000</v>
      </c>
      <c r="N491">
        <v>0.1</v>
      </c>
      <c r="O491" t="s">
        <v>26</v>
      </c>
      <c r="P491" t="s">
        <v>48</v>
      </c>
      <c r="Q491" s="3">
        <f>Table13[[#This Row],[Quantity]]*Table13[[#This Row],[UnitPrice_NGN]]</f>
        <v>125000</v>
      </c>
      <c r="R491" s="9">
        <f>Table13[[#This Row],[GrossRevenue]]*(1-Table13[[#This Row],[DiscountRate]])</f>
        <v>112500</v>
      </c>
      <c r="S491" s="3">
        <f>Table13[[#This Row],[Quantity]]*Table13[[#This Row],[UnitCost_NGN]]</f>
        <v>85000</v>
      </c>
      <c r="T491" s="3">
        <f>Table13[[#This Row],[NetRevenue]]-Table13[[#This Row],[TotalCost]]</f>
        <v>27500</v>
      </c>
      <c r="U491" s="3"/>
    </row>
    <row r="492" spans="1:21" x14ac:dyDescent="0.25">
      <c r="A492" t="s">
        <v>862</v>
      </c>
      <c r="B492" s="20">
        <v>45746</v>
      </c>
      <c r="C492" t="s">
        <v>30</v>
      </c>
      <c r="D492" t="s">
        <v>60</v>
      </c>
      <c r="E492" t="s">
        <v>61</v>
      </c>
      <c r="F492" t="s">
        <v>43</v>
      </c>
      <c r="G492" t="s">
        <v>22</v>
      </c>
      <c r="H492" t="s">
        <v>23</v>
      </c>
      <c r="I492" t="s">
        <v>45</v>
      </c>
      <c r="J492" t="s">
        <v>46</v>
      </c>
      <c r="K492">
        <v>5</v>
      </c>
      <c r="L492" s="3">
        <v>19425</v>
      </c>
      <c r="M492" s="3">
        <v>14500</v>
      </c>
      <c r="N492">
        <v>0.05</v>
      </c>
      <c r="O492" t="s">
        <v>57</v>
      </c>
      <c r="P492" t="s">
        <v>72</v>
      </c>
      <c r="Q492" s="3">
        <f>Table13[[#This Row],[Quantity]]*Table13[[#This Row],[UnitPrice_NGN]]</f>
        <v>97125</v>
      </c>
      <c r="R492" s="9">
        <f>Table13[[#This Row],[GrossRevenue]]*(1-Table13[[#This Row],[DiscountRate]])</f>
        <v>92268.75</v>
      </c>
      <c r="S492" s="3">
        <f>Table13[[#This Row],[Quantity]]*Table13[[#This Row],[UnitCost_NGN]]</f>
        <v>72500</v>
      </c>
      <c r="T492" s="3">
        <f>Table13[[#This Row],[NetRevenue]]-Table13[[#This Row],[TotalCost]]</f>
        <v>19768.75</v>
      </c>
      <c r="U492" s="3"/>
    </row>
    <row r="493" spans="1:21" x14ac:dyDescent="0.25">
      <c r="A493" t="s">
        <v>863</v>
      </c>
      <c r="B493" s="20">
        <v>45829</v>
      </c>
      <c r="C493" t="s">
        <v>40</v>
      </c>
      <c r="D493" t="s">
        <v>136</v>
      </c>
      <c r="E493" t="s">
        <v>137</v>
      </c>
      <c r="F493" t="s">
        <v>122</v>
      </c>
      <c r="G493" t="s">
        <v>33</v>
      </c>
      <c r="H493" t="s">
        <v>96</v>
      </c>
      <c r="I493" t="s">
        <v>35</v>
      </c>
      <c r="J493" t="s">
        <v>36</v>
      </c>
      <c r="K493">
        <v>6</v>
      </c>
      <c r="L493" s="3">
        <v>450000</v>
      </c>
      <c r="M493" s="3">
        <v>332500</v>
      </c>
      <c r="N493">
        <v>0</v>
      </c>
      <c r="O493" t="s">
        <v>64</v>
      </c>
      <c r="P493" t="s">
        <v>48</v>
      </c>
      <c r="Q493" s="3">
        <f>Table13[[#This Row],[Quantity]]*Table13[[#This Row],[UnitPrice_NGN]]</f>
        <v>2700000</v>
      </c>
      <c r="R493" s="9">
        <f>Table13[[#This Row],[GrossRevenue]]*(1-Table13[[#This Row],[DiscountRate]])</f>
        <v>2700000</v>
      </c>
      <c r="S493" s="3">
        <f>Table13[[#This Row],[Quantity]]*Table13[[#This Row],[UnitCost_NGN]]</f>
        <v>1995000</v>
      </c>
      <c r="T493" s="3">
        <f>Table13[[#This Row],[NetRevenue]]-Table13[[#This Row],[TotalCost]]</f>
        <v>705000</v>
      </c>
      <c r="U493" s="3"/>
    </row>
    <row r="494" spans="1:21" x14ac:dyDescent="0.25">
      <c r="A494" t="s">
        <v>864</v>
      </c>
      <c r="B494" s="20">
        <v>45814</v>
      </c>
      <c r="C494" t="s">
        <v>18</v>
      </c>
      <c r="D494" t="s">
        <v>120</v>
      </c>
      <c r="E494" t="s">
        <v>121</v>
      </c>
      <c r="F494" t="s">
        <v>122</v>
      </c>
      <c r="G494" t="s">
        <v>62</v>
      </c>
      <c r="H494" t="s">
        <v>23</v>
      </c>
      <c r="I494" t="s">
        <v>102</v>
      </c>
      <c r="J494" t="s">
        <v>25</v>
      </c>
      <c r="K494">
        <v>8</v>
      </c>
      <c r="L494" s="3">
        <v>37800</v>
      </c>
      <c r="M494" s="3">
        <v>27300</v>
      </c>
      <c r="N494">
        <v>0</v>
      </c>
      <c r="O494" t="s">
        <v>90</v>
      </c>
      <c r="P494" t="s">
        <v>133</v>
      </c>
      <c r="Q494" s="3">
        <f>Table13[[#This Row],[Quantity]]*Table13[[#This Row],[UnitPrice_NGN]]</f>
        <v>302400</v>
      </c>
      <c r="R494" s="9">
        <f>Table13[[#This Row],[GrossRevenue]]*(1-Table13[[#This Row],[DiscountRate]])</f>
        <v>302400</v>
      </c>
      <c r="S494" s="3">
        <f>Table13[[#This Row],[Quantity]]*Table13[[#This Row],[UnitCost_NGN]]</f>
        <v>218400</v>
      </c>
      <c r="T494" s="3">
        <f>Table13[[#This Row],[NetRevenue]]-Table13[[#This Row],[TotalCost]]</f>
        <v>84000</v>
      </c>
      <c r="U494" s="3"/>
    </row>
    <row r="495" spans="1:21" x14ac:dyDescent="0.25">
      <c r="A495" t="s">
        <v>865</v>
      </c>
      <c r="B495" s="20">
        <v>45859</v>
      </c>
      <c r="C495" t="s">
        <v>30</v>
      </c>
      <c r="D495" t="s">
        <v>78</v>
      </c>
      <c r="E495" t="s">
        <v>79</v>
      </c>
      <c r="F495" t="s">
        <v>80</v>
      </c>
      <c r="G495" t="s">
        <v>22</v>
      </c>
      <c r="H495" t="s">
        <v>34</v>
      </c>
      <c r="I495" t="s">
        <v>105</v>
      </c>
      <c r="J495" t="s">
        <v>71</v>
      </c>
      <c r="K495">
        <v>5</v>
      </c>
      <c r="L495" s="3">
        <v>166250</v>
      </c>
      <c r="M495" s="3">
        <v>114000</v>
      </c>
      <c r="N495">
        <v>0.15</v>
      </c>
      <c r="O495" t="s">
        <v>26</v>
      </c>
      <c r="P495" t="s">
        <v>72</v>
      </c>
      <c r="Q495" s="3">
        <f>Table13[[#This Row],[Quantity]]*Table13[[#This Row],[UnitPrice_NGN]]</f>
        <v>831250</v>
      </c>
      <c r="R495" s="9">
        <f>Table13[[#This Row],[GrossRevenue]]*(1-Table13[[#This Row],[DiscountRate]])</f>
        <v>706562.5</v>
      </c>
      <c r="S495" s="3">
        <f>Table13[[#This Row],[Quantity]]*Table13[[#This Row],[UnitCost_NGN]]</f>
        <v>570000</v>
      </c>
      <c r="T495" s="3">
        <f>Table13[[#This Row],[NetRevenue]]-Table13[[#This Row],[TotalCost]]</f>
        <v>136562.5</v>
      </c>
      <c r="U495" s="3"/>
    </row>
    <row r="496" spans="1:21" x14ac:dyDescent="0.25">
      <c r="A496" t="s">
        <v>867</v>
      </c>
      <c r="B496" s="20">
        <v>45950</v>
      </c>
      <c r="C496" t="s">
        <v>18</v>
      </c>
      <c r="D496" t="s">
        <v>83</v>
      </c>
      <c r="E496" t="s">
        <v>84</v>
      </c>
      <c r="F496" t="s">
        <v>85</v>
      </c>
      <c r="G496" t="s">
        <v>33</v>
      </c>
      <c r="H496" t="s">
        <v>63</v>
      </c>
      <c r="I496" t="s">
        <v>70</v>
      </c>
      <c r="J496" t="s">
        <v>71</v>
      </c>
      <c r="K496">
        <v>1</v>
      </c>
      <c r="L496" s="3">
        <v>95000</v>
      </c>
      <c r="M496" s="3">
        <v>58900</v>
      </c>
      <c r="N496">
        <v>0.05</v>
      </c>
      <c r="O496" t="s">
        <v>52</v>
      </c>
      <c r="P496" t="s">
        <v>27</v>
      </c>
      <c r="Q496" s="3">
        <f>Table13[[#This Row],[Quantity]]*Table13[[#This Row],[UnitPrice_NGN]]</f>
        <v>95000</v>
      </c>
      <c r="R496" s="9">
        <f>Table13[[#This Row],[GrossRevenue]]*(1-Table13[[#This Row],[DiscountRate]])</f>
        <v>90250</v>
      </c>
      <c r="S496" s="3">
        <f>Table13[[#This Row],[Quantity]]*Table13[[#This Row],[UnitCost_NGN]]</f>
        <v>58900</v>
      </c>
      <c r="T496" s="3">
        <f>Table13[[#This Row],[NetRevenue]]-Table13[[#This Row],[TotalCost]]</f>
        <v>31350</v>
      </c>
      <c r="U496" s="3"/>
    </row>
    <row r="497" spans="1:21" x14ac:dyDescent="0.25">
      <c r="A497" t="s">
        <v>868</v>
      </c>
      <c r="B497" s="20">
        <v>45904</v>
      </c>
      <c r="C497" t="s">
        <v>18</v>
      </c>
      <c r="D497" t="s">
        <v>78</v>
      </c>
      <c r="E497" t="s">
        <v>79</v>
      </c>
      <c r="F497" t="s">
        <v>80</v>
      </c>
      <c r="G497" t="s">
        <v>33</v>
      </c>
      <c r="H497" t="s">
        <v>112</v>
      </c>
      <c r="I497" t="s">
        <v>55</v>
      </c>
      <c r="J497" t="s">
        <v>56</v>
      </c>
      <c r="K497">
        <v>3</v>
      </c>
      <c r="L497" s="3">
        <v>50400</v>
      </c>
      <c r="M497" s="3">
        <v>30000</v>
      </c>
      <c r="N497">
        <v>0</v>
      </c>
      <c r="O497" t="s">
        <v>64</v>
      </c>
      <c r="P497" t="s">
        <v>133</v>
      </c>
      <c r="Q497" s="3">
        <f>Table13[[#This Row],[Quantity]]*Table13[[#This Row],[UnitPrice_NGN]]</f>
        <v>151200</v>
      </c>
      <c r="R497" s="9">
        <f>Table13[[#This Row],[GrossRevenue]]*(1-Table13[[#This Row],[DiscountRate]])</f>
        <v>151200</v>
      </c>
      <c r="S497" s="3">
        <f>Table13[[#This Row],[Quantity]]*Table13[[#This Row],[UnitCost_NGN]]</f>
        <v>90000</v>
      </c>
      <c r="T497" s="3">
        <f>Table13[[#This Row],[NetRevenue]]-Table13[[#This Row],[TotalCost]]</f>
        <v>61200</v>
      </c>
      <c r="U497" s="3"/>
    </row>
    <row r="498" spans="1:21" x14ac:dyDescent="0.25">
      <c r="A498" t="s">
        <v>869</v>
      </c>
      <c r="B498" s="20">
        <v>45694</v>
      </c>
      <c r="C498" t="s">
        <v>40</v>
      </c>
      <c r="D498" t="s">
        <v>131</v>
      </c>
      <c r="E498" t="s">
        <v>132</v>
      </c>
      <c r="F498" t="s">
        <v>80</v>
      </c>
      <c r="G498" t="s">
        <v>62</v>
      </c>
      <c r="H498" t="s">
        <v>23</v>
      </c>
      <c r="I498" t="s">
        <v>93</v>
      </c>
      <c r="J498" t="s">
        <v>46</v>
      </c>
      <c r="K498">
        <v>15</v>
      </c>
      <c r="L498" s="3">
        <v>95000</v>
      </c>
      <c r="M498" s="3">
        <v>82000</v>
      </c>
      <c r="N498">
        <v>0</v>
      </c>
      <c r="O498" t="s">
        <v>52</v>
      </c>
      <c r="P498" t="s">
        <v>48</v>
      </c>
      <c r="Q498" s="3">
        <f>Table13[[#This Row],[Quantity]]*Table13[[#This Row],[UnitPrice_NGN]]</f>
        <v>1425000</v>
      </c>
      <c r="R498" s="9">
        <f>Table13[[#This Row],[GrossRevenue]]*(1-Table13[[#This Row],[DiscountRate]])</f>
        <v>1425000</v>
      </c>
      <c r="S498" s="3">
        <f>Table13[[#This Row],[Quantity]]*Table13[[#This Row],[UnitCost_NGN]]</f>
        <v>1230000</v>
      </c>
      <c r="T498" s="3">
        <f>Table13[[#This Row],[NetRevenue]]-Table13[[#This Row],[TotalCost]]</f>
        <v>195000</v>
      </c>
      <c r="U498" s="3"/>
    </row>
    <row r="499" spans="1:21" x14ac:dyDescent="0.25">
      <c r="A499" t="s">
        <v>870</v>
      </c>
      <c r="B499" s="20">
        <v>45822</v>
      </c>
      <c r="C499" t="s">
        <v>30</v>
      </c>
      <c r="D499" t="s">
        <v>120</v>
      </c>
      <c r="E499" t="s">
        <v>121</v>
      </c>
      <c r="F499" t="s">
        <v>122</v>
      </c>
      <c r="G499" t="s">
        <v>22</v>
      </c>
      <c r="H499" t="s">
        <v>63</v>
      </c>
      <c r="I499" t="s">
        <v>51</v>
      </c>
      <c r="J499" t="s">
        <v>36</v>
      </c>
      <c r="K499">
        <v>3</v>
      </c>
      <c r="L499" s="3">
        <v>280000</v>
      </c>
      <c r="M499" s="3">
        <v>210000</v>
      </c>
      <c r="N499">
        <v>0</v>
      </c>
      <c r="O499" t="s">
        <v>90</v>
      </c>
      <c r="P499" t="s">
        <v>48</v>
      </c>
      <c r="Q499" s="3">
        <f>Table13[[#This Row],[Quantity]]*Table13[[#This Row],[UnitPrice_NGN]]</f>
        <v>840000</v>
      </c>
      <c r="R499" s="9">
        <f>Table13[[#This Row],[GrossRevenue]]*(1-Table13[[#This Row],[DiscountRate]])</f>
        <v>840000</v>
      </c>
      <c r="S499" s="3">
        <f>Table13[[#This Row],[Quantity]]*Table13[[#This Row],[UnitCost_NGN]]</f>
        <v>630000</v>
      </c>
      <c r="T499" s="3">
        <f>Table13[[#This Row],[NetRevenue]]-Table13[[#This Row],[TotalCost]]</f>
        <v>210000</v>
      </c>
      <c r="U499" s="3"/>
    </row>
    <row r="500" spans="1:21" x14ac:dyDescent="0.25">
      <c r="A500" t="s">
        <v>871</v>
      </c>
      <c r="B500" s="20">
        <v>45732</v>
      </c>
      <c r="C500" t="s">
        <v>18</v>
      </c>
      <c r="D500" t="s">
        <v>131</v>
      </c>
      <c r="E500" t="s">
        <v>132</v>
      </c>
      <c r="F500" t="s">
        <v>80</v>
      </c>
      <c r="G500" t="s">
        <v>44</v>
      </c>
      <c r="H500" t="s">
        <v>34</v>
      </c>
      <c r="I500" t="s">
        <v>105</v>
      </c>
      <c r="J500" t="s">
        <v>71</v>
      </c>
      <c r="K500">
        <v>8</v>
      </c>
      <c r="L500" s="3">
        <v>192500</v>
      </c>
      <c r="M500" s="3">
        <v>126000</v>
      </c>
      <c r="N500">
        <v>0.1</v>
      </c>
      <c r="O500" t="s">
        <v>47</v>
      </c>
      <c r="P500" t="s">
        <v>72</v>
      </c>
      <c r="Q500" s="3">
        <f>Table13[[#This Row],[Quantity]]*Table13[[#This Row],[UnitPrice_NGN]]</f>
        <v>1540000</v>
      </c>
      <c r="R500" s="9">
        <f>Table13[[#This Row],[GrossRevenue]]*(1-Table13[[#This Row],[DiscountRate]])</f>
        <v>1386000</v>
      </c>
      <c r="S500" s="3">
        <f>Table13[[#This Row],[Quantity]]*Table13[[#This Row],[UnitCost_NGN]]</f>
        <v>1008000</v>
      </c>
      <c r="T500" s="3">
        <f>Table13[[#This Row],[NetRevenue]]-Table13[[#This Row],[TotalCost]]</f>
        <v>378000</v>
      </c>
      <c r="U500" s="3"/>
    </row>
    <row r="501" spans="1:21" x14ac:dyDescent="0.25">
      <c r="A501" t="s">
        <v>872</v>
      </c>
      <c r="B501" s="20">
        <v>45975</v>
      </c>
      <c r="C501" t="s">
        <v>40</v>
      </c>
      <c r="D501" t="s">
        <v>136</v>
      </c>
      <c r="E501" t="s">
        <v>137</v>
      </c>
      <c r="F501" t="s">
        <v>122</v>
      </c>
      <c r="G501" t="s">
        <v>22</v>
      </c>
      <c r="H501" t="s">
        <v>63</v>
      </c>
      <c r="I501" t="s">
        <v>75</v>
      </c>
      <c r="J501" t="s">
        <v>36</v>
      </c>
      <c r="K501">
        <v>8</v>
      </c>
      <c r="L501" s="3">
        <v>162000</v>
      </c>
      <c r="M501" s="3">
        <v>123500</v>
      </c>
      <c r="N501">
        <v>0</v>
      </c>
      <c r="O501" t="s">
        <v>52</v>
      </c>
      <c r="P501" t="s">
        <v>48</v>
      </c>
      <c r="Q501" s="3">
        <f>Table13[[#This Row],[Quantity]]*Table13[[#This Row],[UnitPrice_NGN]]</f>
        <v>1296000</v>
      </c>
      <c r="R501" s="9">
        <f>Table13[[#This Row],[GrossRevenue]]*(1-Table13[[#This Row],[DiscountRate]])</f>
        <v>1296000</v>
      </c>
      <c r="S501" s="3">
        <f>Table13[[#This Row],[Quantity]]*Table13[[#This Row],[UnitCost_NGN]]</f>
        <v>988000</v>
      </c>
      <c r="T501" s="3">
        <f>Table13[[#This Row],[NetRevenue]]-Table13[[#This Row],[TotalCost]]</f>
        <v>308000</v>
      </c>
      <c r="U501" s="3"/>
    </row>
    <row r="502" spans="1:21" x14ac:dyDescent="0.25">
      <c r="A502" t="s">
        <v>874</v>
      </c>
      <c r="B502" s="20">
        <v>45933</v>
      </c>
      <c r="C502" t="s">
        <v>18</v>
      </c>
      <c r="D502" t="s">
        <v>110</v>
      </c>
      <c r="E502" t="s">
        <v>111</v>
      </c>
      <c r="F502" t="s">
        <v>85</v>
      </c>
      <c r="G502" t="s">
        <v>62</v>
      </c>
      <c r="H502" t="s">
        <v>23</v>
      </c>
      <c r="I502" t="s">
        <v>70</v>
      </c>
      <c r="J502" t="s">
        <v>71</v>
      </c>
      <c r="K502">
        <v>3</v>
      </c>
      <c r="L502" s="3">
        <v>95000</v>
      </c>
      <c r="M502" s="3">
        <v>62000</v>
      </c>
      <c r="N502">
        <v>0.15</v>
      </c>
      <c r="O502" t="s">
        <v>37</v>
      </c>
      <c r="P502" t="s">
        <v>48</v>
      </c>
      <c r="Q502" s="3">
        <f>Table13[[#This Row],[Quantity]]*Table13[[#This Row],[UnitPrice_NGN]]</f>
        <v>285000</v>
      </c>
      <c r="R502" s="9">
        <f>Table13[[#This Row],[GrossRevenue]]*(1-Table13[[#This Row],[DiscountRate]])</f>
        <v>242250</v>
      </c>
      <c r="S502" s="3">
        <f>Table13[[#This Row],[Quantity]]*Table13[[#This Row],[UnitCost_NGN]]</f>
        <v>186000</v>
      </c>
      <c r="T502" s="3">
        <f>Table13[[#This Row],[NetRevenue]]-Table13[[#This Row],[TotalCost]]</f>
        <v>56250</v>
      </c>
      <c r="U502" s="3"/>
    </row>
    <row r="503" spans="1:21" x14ac:dyDescent="0.25">
      <c r="A503" t="s">
        <v>875</v>
      </c>
      <c r="B503" s="20">
        <v>45956</v>
      </c>
      <c r="C503" t="s">
        <v>30</v>
      </c>
      <c r="D503" t="s">
        <v>136</v>
      </c>
      <c r="E503" t="s">
        <v>137</v>
      </c>
      <c r="F503" t="s">
        <v>122</v>
      </c>
      <c r="G503" t="s">
        <v>22</v>
      </c>
      <c r="H503" t="s">
        <v>63</v>
      </c>
      <c r="I503" t="s">
        <v>45</v>
      </c>
      <c r="J503" t="s">
        <v>46</v>
      </c>
      <c r="K503">
        <v>15</v>
      </c>
      <c r="L503" s="3">
        <v>19425</v>
      </c>
      <c r="M503" s="3">
        <v>13775</v>
      </c>
      <c r="N503">
        <v>0.05</v>
      </c>
      <c r="O503" t="s">
        <v>90</v>
      </c>
      <c r="P503" t="s">
        <v>27</v>
      </c>
      <c r="Q503" s="3">
        <f>Table13[[#This Row],[Quantity]]*Table13[[#This Row],[UnitPrice_NGN]]</f>
        <v>291375</v>
      </c>
      <c r="R503" s="9">
        <f>Table13[[#This Row],[GrossRevenue]]*(1-Table13[[#This Row],[DiscountRate]])</f>
        <v>276806.25</v>
      </c>
      <c r="S503" s="3">
        <f>Table13[[#This Row],[Quantity]]*Table13[[#This Row],[UnitCost_NGN]]</f>
        <v>206625</v>
      </c>
      <c r="T503" s="3">
        <f>Table13[[#This Row],[NetRevenue]]-Table13[[#This Row],[TotalCost]]</f>
        <v>70181.25</v>
      </c>
      <c r="U503" s="3"/>
    </row>
    <row r="504" spans="1:21" x14ac:dyDescent="0.25">
      <c r="A504" t="s">
        <v>876</v>
      </c>
      <c r="B504" s="20">
        <v>45896</v>
      </c>
      <c r="C504" t="s">
        <v>18</v>
      </c>
      <c r="D504" t="s">
        <v>41</v>
      </c>
      <c r="E504" t="s">
        <v>42</v>
      </c>
      <c r="F504" t="s">
        <v>43</v>
      </c>
      <c r="G504" t="s">
        <v>22</v>
      </c>
      <c r="H504" t="s">
        <v>112</v>
      </c>
      <c r="I504" t="s">
        <v>35</v>
      </c>
      <c r="J504" t="s">
        <v>36</v>
      </c>
      <c r="K504">
        <v>2</v>
      </c>
      <c r="L504" s="3">
        <v>472500</v>
      </c>
      <c r="M504" s="3">
        <v>350000</v>
      </c>
      <c r="N504">
        <v>0</v>
      </c>
      <c r="O504" t="s">
        <v>57</v>
      </c>
      <c r="P504" t="s">
        <v>27</v>
      </c>
      <c r="Q504" s="3">
        <f>Table13[[#This Row],[Quantity]]*Table13[[#This Row],[UnitPrice_NGN]]</f>
        <v>945000</v>
      </c>
      <c r="R504" s="9">
        <f>Table13[[#This Row],[GrossRevenue]]*(1-Table13[[#This Row],[DiscountRate]])</f>
        <v>945000</v>
      </c>
      <c r="S504" s="3">
        <f>Table13[[#This Row],[Quantity]]*Table13[[#This Row],[UnitCost_NGN]]</f>
        <v>700000</v>
      </c>
      <c r="T504" s="3">
        <f>Table13[[#This Row],[NetRevenue]]-Table13[[#This Row],[TotalCost]]</f>
        <v>245000</v>
      </c>
      <c r="U504" s="3"/>
    </row>
    <row r="505" spans="1:21" x14ac:dyDescent="0.25">
      <c r="A505" t="s">
        <v>877</v>
      </c>
      <c r="B505" s="20">
        <v>45990</v>
      </c>
      <c r="C505" t="s">
        <v>18</v>
      </c>
      <c r="D505" t="s">
        <v>120</v>
      </c>
      <c r="E505" t="s">
        <v>121</v>
      </c>
      <c r="F505" t="s">
        <v>122</v>
      </c>
      <c r="G505" t="s">
        <v>33</v>
      </c>
      <c r="H505" t="s">
        <v>23</v>
      </c>
      <c r="I505" t="s">
        <v>24</v>
      </c>
      <c r="J505" t="s">
        <v>25</v>
      </c>
      <c r="K505">
        <v>3</v>
      </c>
      <c r="L505" s="3">
        <v>19800</v>
      </c>
      <c r="M505" s="3">
        <v>12350</v>
      </c>
      <c r="N505">
        <v>0</v>
      </c>
      <c r="O505" t="s">
        <v>52</v>
      </c>
      <c r="P505" t="s">
        <v>72</v>
      </c>
      <c r="Q505" s="3">
        <f>Table13[[#This Row],[Quantity]]*Table13[[#This Row],[UnitPrice_NGN]]</f>
        <v>59400</v>
      </c>
      <c r="R505" s="9">
        <f>Table13[[#This Row],[GrossRevenue]]*(1-Table13[[#This Row],[DiscountRate]])</f>
        <v>59400</v>
      </c>
      <c r="S505" s="3">
        <f>Table13[[#This Row],[Quantity]]*Table13[[#This Row],[UnitCost_NGN]]</f>
        <v>37050</v>
      </c>
      <c r="T505" s="3">
        <f>Table13[[#This Row],[NetRevenue]]-Table13[[#This Row],[TotalCost]]</f>
        <v>22350</v>
      </c>
      <c r="U505" s="3"/>
    </row>
    <row r="506" spans="1:21" x14ac:dyDescent="0.25">
      <c r="A506" t="s">
        <v>878</v>
      </c>
      <c r="B506" s="20">
        <v>45759</v>
      </c>
      <c r="C506" t="s">
        <v>40</v>
      </c>
      <c r="D506" t="s">
        <v>110</v>
      </c>
      <c r="E506" t="s">
        <v>111</v>
      </c>
      <c r="F506" t="s">
        <v>85</v>
      </c>
      <c r="G506" t="s">
        <v>22</v>
      </c>
      <c r="H506" t="s">
        <v>96</v>
      </c>
      <c r="I506" t="s">
        <v>105</v>
      </c>
      <c r="J506" t="s">
        <v>71</v>
      </c>
      <c r="K506">
        <v>8</v>
      </c>
      <c r="L506" s="3">
        <v>175000</v>
      </c>
      <c r="M506" s="3">
        <v>114000</v>
      </c>
      <c r="N506">
        <v>0</v>
      </c>
      <c r="O506" t="s">
        <v>64</v>
      </c>
      <c r="P506" t="s">
        <v>133</v>
      </c>
      <c r="Q506" s="3">
        <f>Table13[[#This Row],[Quantity]]*Table13[[#This Row],[UnitPrice_NGN]]</f>
        <v>1400000</v>
      </c>
      <c r="R506" s="9">
        <f>Table13[[#This Row],[GrossRevenue]]*(1-Table13[[#This Row],[DiscountRate]])</f>
        <v>1400000</v>
      </c>
      <c r="S506" s="3">
        <f>Table13[[#This Row],[Quantity]]*Table13[[#This Row],[UnitCost_NGN]]</f>
        <v>912000</v>
      </c>
      <c r="T506" s="3">
        <f>Table13[[#This Row],[NetRevenue]]-Table13[[#This Row],[TotalCost]]</f>
        <v>488000</v>
      </c>
      <c r="U506" s="3"/>
    </row>
    <row r="507" spans="1:21" x14ac:dyDescent="0.25">
      <c r="A507" t="s">
        <v>879</v>
      </c>
      <c r="B507" s="20">
        <v>45835</v>
      </c>
      <c r="C507" t="s">
        <v>40</v>
      </c>
      <c r="D507" t="s">
        <v>41</v>
      </c>
      <c r="E507" t="s">
        <v>42</v>
      </c>
      <c r="F507" t="s">
        <v>43</v>
      </c>
      <c r="G507" t="s">
        <v>62</v>
      </c>
      <c r="H507" t="s">
        <v>63</v>
      </c>
      <c r="I507" t="s">
        <v>93</v>
      </c>
      <c r="J507" t="s">
        <v>46</v>
      </c>
      <c r="K507">
        <v>2</v>
      </c>
      <c r="L507" s="3">
        <v>95000</v>
      </c>
      <c r="M507" s="3">
        <v>82000</v>
      </c>
      <c r="N507">
        <v>0</v>
      </c>
      <c r="O507" t="s">
        <v>64</v>
      </c>
      <c r="P507" t="s">
        <v>27</v>
      </c>
      <c r="Q507" s="3">
        <f>Table13[[#This Row],[Quantity]]*Table13[[#This Row],[UnitPrice_NGN]]</f>
        <v>190000</v>
      </c>
      <c r="R507" s="9">
        <f>Table13[[#This Row],[GrossRevenue]]*(1-Table13[[#This Row],[DiscountRate]])</f>
        <v>190000</v>
      </c>
      <c r="S507" s="3">
        <f>Table13[[#This Row],[Quantity]]*Table13[[#This Row],[UnitCost_NGN]]</f>
        <v>164000</v>
      </c>
      <c r="T507" s="3">
        <f>Table13[[#This Row],[NetRevenue]]-Table13[[#This Row],[TotalCost]]</f>
        <v>26000</v>
      </c>
      <c r="U507" s="3"/>
    </row>
    <row r="508" spans="1:21" x14ac:dyDescent="0.25">
      <c r="A508" t="s">
        <v>880</v>
      </c>
      <c r="B508" s="20">
        <v>45673</v>
      </c>
      <c r="C508" t="s">
        <v>40</v>
      </c>
      <c r="D508" t="s">
        <v>41</v>
      </c>
      <c r="E508" t="s">
        <v>42</v>
      </c>
      <c r="F508" t="s">
        <v>43</v>
      </c>
      <c r="G508" t="s">
        <v>44</v>
      </c>
      <c r="H508" t="s">
        <v>34</v>
      </c>
      <c r="I508" t="s">
        <v>93</v>
      </c>
      <c r="J508" t="s">
        <v>46</v>
      </c>
      <c r="K508">
        <v>6</v>
      </c>
      <c r="L508" s="3">
        <v>99750</v>
      </c>
      <c r="M508" s="3">
        <v>82000</v>
      </c>
      <c r="N508">
        <v>0.05</v>
      </c>
      <c r="O508" t="s">
        <v>47</v>
      </c>
      <c r="P508" t="s">
        <v>133</v>
      </c>
      <c r="Q508" s="3">
        <f>Table13[[#This Row],[Quantity]]*Table13[[#This Row],[UnitPrice_NGN]]</f>
        <v>598500</v>
      </c>
      <c r="R508" s="9">
        <f>Table13[[#This Row],[GrossRevenue]]*(1-Table13[[#This Row],[DiscountRate]])</f>
        <v>568575</v>
      </c>
      <c r="S508" s="3">
        <f>Table13[[#This Row],[Quantity]]*Table13[[#This Row],[UnitCost_NGN]]</f>
        <v>492000</v>
      </c>
      <c r="T508" s="3">
        <f>Table13[[#This Row],[NetRevenue]]-Table13[[#This Row],[TotalCost]]</f>
        <v>76575</v>
      </c>
      <c r="U508" s="3"/>
    </row>
    <row r="509" spans="1:21" x14ac:dyDescent="0.25">
      <c r="A509" t="s">
        <v>881</v>
      </c>
      <c r="B509" s="20">
        <v>46005</v>
      </c>
      <c r="C509" t="s">
        <v>30</v>
      </c>
      <c r="D509" t="s">
        <v>120</v>
      </c>
      <c r="E509" t="s">
        <v>121</v>
      </c>
      <c r="F509" t="s">
        <v>122</v>
      </c>
      <c r="G509" t="s">
        <v>44</v>
      </c>
      <c r="H509" t="s">
        <v>112</v>
      </c>
      <c r="I509" t="s">
        <v>55</v>
      </c>
      <c r="J509" t="s">
        <v>56</v>
      </c>
      <c r="K509">
        <v>1</v>
      </c>
      <c r="L509" s="3">
        <v>50400</v>
      </c>
      <c r="M509" s="3">
        <v>30000</v>
      </c>
      <c r="N509">
        <v>0.1</v>
      </c>
      <c r="O509" t="s">
        <v>64</v>
      </c>
      <c r="P509" t="s">
        <v>133</v>
      </c>
      <c r="Q509" s="3">
        <f>Table13[[#This Row],[Quantity]]*Table13[[#This Row],[UnitPrice_NGN]]</f>
        <v>50400</v>
      </c>
      <c r="R509" s="9">
        <f>Table13[[#This Row],[GrossRevenue]]*(1-Table13[[#This Row],[DiscountRate]])</f>
        <v>45360</v>
      </c>
      <c r="S509" s="3">
        <f>Table13[[#This Row],[Quantity]]*Table13[[#This Row],[UnitCost_NGN]]</f>
        <v>30000</v>
      </c>
      <c r="T509" s="3">
        <f>Table13[[#This Row],[NetRevenue]]-Table13[[#This Row],[TotalCost]]</f>
        <v>15360</v>
      </c>
      <c r="U509" s="3"/>
    </row>
    <row r="510" spans="1:21" x14ac:dyDescent="0.25">
      <c r="A510" t="s">
        <v>882</v>
      </c>
      <c r="B510" s="20">
        <v>45935</v>
      </c>
      <c r="C510" t="s">
        <v>18</v>
      </c>
      <c r="D510" t="s">
        <v>157</v>
      </c>
      <c r="E510" t="s">
        <v>158</v>
      </c>
      <c r="F510" t="s">
        <v>21</v>
      </c>
      <c r="G510" t="s">
        <v>44</v>
      </c>
      <c r="H510" t="s">
        <v>23</v>
      </c>
      <c r="I510" t="s">
        <v>45</v>
      </c>
      <c r="J510" t="s">
        <v>46</v>
      </c>
      <c r="K510">
        <v>3</v>
      </c>
      <c r="L510" s="3">
        <v>18500</v>
      </c>
      <c r="M510" s="3">
        <v>14500</v>
      </c>
      <c r="N510">
        <v>0.05</v>
      </c>
      <c r="O510" t="s">
        <v>64</v>
      </c>
      <c r="P510" t="s">
        <v>48</v>
      </c>
      <c r="Q510" s="3">
        <f>Table13[[#This Row],[Quantity]]*Table13[[#This Row],[UnitPrice_NGN]]</f>
        <v>55500</v>
      </c>
      <c r="R510" s="9">
        <f>Table13[[#This Row],[GrossRevenue]]*(1-Table13[[#This Row],[DiscountRate]])</f>
        <v>52725</v>
      </c>
      <c r="S510" s="3">
        <f>Table13[[#This Row],[Quantity]]*Table13[[#This Row],[UnitCost_NGN]]</f>
        <v>43500</v>
      </c>
      <c r="T510" s="3">
        <f>Table13[[#This Row],[NetRevenue]]-Table13[[#This Row],[TotalCost]]</f>
        <v>9225</v>
      </c>
      <c r="U510" s="3"/>
    </row>
    <row r="511" spans="1:21" x14ac:dyDescent="0.25">
      <c r="A511" t="s">
        <v>884</v>
      </c>
      <c r="B511" s="20">
        <v>45732</v>
      </c>
      <c r="C511" t="s">
        <v>30</v>
      </c>
      <c r="D511" t="s">
        <v>41</v>
      </c>
      <c r="E511" t="s">
        <v>42</v>
      </c>
      <c r="F511" t="s">
        <v>43</v>
      </c>
      <c r="G511" t="s">
        <v>44</v>
      </c>
      <c r="H511" t="s">
        <v>63</v>
      </c>
      <c r="I511" t="s">
        <v>75</v>
      </c>
      <c r="J511" t="s">
        <v>36</v>
      </c>
      <c r="K511">
        <v>5</v>
      </c>
      <c r="L511" s="3">
        <v>180000</v>
      </c>
      <c r="M511" s="3">
        <v>130000</v>
      </c>
      <c r="N511">
        <v>0.05</v>
      </c>
      <c r="O511" t="s">
        <v>52</v>
      </c>
      <c r="P511" t="s">
        <v>27</v>
      </c>
      <c r="Q511" s="3">
        <f>Table13[[#This Row],[Quantity]]*Table13[[#This Row],[UnitPrice_NGN]]</f>
        <v>900000</v>
      </c>
      <c r="R511" s="9">
        <f>Table13[[#This Row],[GrossRevenue]]*(1-Table13[[#This Row],[DiscountRate]])</f>
        <v>855000</v>
      </c>
      <c r="S511" s="3">
        <f>Table13[[#This Row],[Quantity]]*Table13[[#This Row],[UnitCost_NGN]]</f>
        <v>650000</v>
      </c>
      <c r="T511" s="3">
        <f>Table13[[#This Row],[NetRevenue]]-Table13[[#This Row],[TotalCost]]</f>
        <v>205000</v>
      </c>
      <c r="U511" s="3"/>
    </row>
    <row r="512" spans="1:21" x14ac:dyDescent="0.25">
      <c r="A512" t="s">
        <v>885</v>
      </c>
      <c r="B512" s="20">
        <v>45732</v>
      </c>
      <c r="C512" t="s">
        <v>18</v>
      </c>
      <c r="D512" t="s">
        <v>78</v>
      </c>
      <c r="E512" t="s">
        <v>79</v>
      </c>
      <c r="F512" t="s">
        <v>80</v>
      </c>
      <c r="G512" t="s">
        <v>62</v>
      </c>
      <c r="H512" t="s">
        <v>112</v>
      </c>
      <c r="I512" t="s">
        <v>93</v>
      </c>
      <c r="J512" t="s">
        <v>46</v>
      </c>
      <c r="K512">
        <v>12</v>
      </c>
      <c r="L512" s="3">
        <v>85500</v>
      </c>
      <c r="M512" s="3">
        <v>82000</v>
      </c>
      <c r="N512">
        <v>0</v>
      </c>
      <c r="O512" t="s">
        <v>26</v>
      </c>
      <c r="P512" t="s">
        <v>27</v>
      </c>
      <c r="Q512" s="3">
        <f>Table13[[#This Row],[Quantity]]*Table13[[#This Row],[UnitPrice_NGN]]</f>
        <v>1026000</v>
      </c>
      <c r="R512" s="9">
        <f>Table13[[#This Row],[GrossRevenue]]*(1-Table13[[#This Row],[DiscountRate]])</f>
        <v>1026000</v>
      </c>
      <c r="S512" s="3">
        <f>Table13[[#This Row],[Quantity]]*Table13[[#This Row],[UnitCost_NGN]]</f>
        <v>984000</v>
      </c>
      <c r="T512" s="3">
        <f>Table13[[#This Row],[NetRevenue]]-Table13[[#This Row],[TotalCost]]</f>
        <v>42000</v>
      </c>
      <c r="U512" s="3"/>
    </row>
    <row r="513" spans="1:21" x14ac:dyDescent="0.25">
      <c r="A513" t="s">
        <v>886</v>
      </c>
      <c r="B513" s="20">
        <v>45754</v>
      </c>
      <c r="C513" t="s">
        <v>18</v>
      </c>
      <c r="D513" t="s">
        <v>110</v>
      </c>
      <c r="E513" t="s">
        <v>111</v>
      </c>
      <c r="F513" t="s">
        <v>85</v>
      </c>
      <c r="G513" t="s">
        <v>44</v>
      </c>
      <c r="H513" t="s">
        <v>96</v>
      </c>
      <c r="I513" t="s">
        <v>70</v>
      </c>
      <c r="J513" t="s">
        <v>71</v>
      </c>
      <c r="K513">
        <v>6</v>
      </c>
      <c r="L513" s="3">
        <v>104500</v>
      </c>
      <c r="M513" s="3">
        <v>62000</v>
      </c>
      <c r="N513">
        <v>0</v>
      </c>
      <c r="O513" t="s">
        <v>57</v>
      </c>
      <c r="P513" t="s">
        <v>48</v>
      </c>
      <c r="Q513" s="3">
        <f>Table13[[#This Row],[Quantity]]*Table13[[#This Row],[UnitPrice_NGN]]</f>
        <v>627000</v>
      </c>
      <c r="R513" s="9">
        <f>Table13[[#This Row],[GrossRevenue]]*(1-Table13[[#This Row],[DiscountRate]])</f>
        <v>627000</v>
      </c>
      <c r="S513" s="3">
        <f>Table13[[#This Row],[Quantity]]*Table13[[#This Row],[UnitCost_NGN]]</f>
        <v>372000</v>
      </c>
      <c r="T513" s="3">
        <f>Table13[[#This Row],[NetRevenue]]-Table13[[#This Row],[TotalCost]]</f>
        <v>255000</v>
      </c>
      <c r="U513" s="3"/>
    </row>
    <row r="514" spans="1:21" x14ac:dyDescent="0.25">
      <c r="A514" t="s">
        <v>887</v>
      </c>
      <c r="B514" s="20">
        <v>46009</v>
      </c>
      <c r="C514" t="s">
        <v>40</v>
      </c>
      <c r="D514" t="s">
        <v>131</v>
      </c>
      <c r="E514" t="s">
        <v>132</v>
      </c>
      <c r="F514" t="s">
        <v>80</v>
      </c>
      <c r="G514" t="s">
        <v>22</v>
      </c>
      <c r="H514" t="s">
        <v>112</v>
      </c>
      <c r="I514" t="s">
        <v>45</v>
      </c>
      <c r="J514" t="s">
        <v>46</v>
      </c>
      <c r="K514">
        <v>4</v>
      </c>
      <c r="L514" s="3">
        <v>18500</v>
      </c>
      <c r="M514" s="3">
        <v>14500</v>
      </c>
      <c r="N514">
        <v>0</v>
      </c>
      <c r="O514" t="s">
        <v>90</v>
      </c>
      <c r="P514" t="s">
        <v>48</v>
      </c>
      <c r="Q514" s="3">
        <f>Table13[[#This Row],[Quantity]]*Table13[[#This Row],[UnitPrice_NGN]]</f>
        <v>74000</v>
      </c>
      <c r="R514" s="9">
        <f>Table13[[#This Row],[GrossRevenue]]*(1-Table13[[#This Row],[DiscountRate]])</f>
        <v>74000</v>
      </c>
      <c r="S514" s="3">
        <f>Table13[[#This Row],[Quantity]]*Table13[[#This Row],[UnitCost_NGN]]</f>
        <v>58000</v>
      </c>
      <c r="T514" s="3">
        <f>Table13[[#This Row],[NetRevenue]]-Table13[[#This Row],[TotalCost]]</f>
        <v>16000</v>
      </c>
      <c r="U514" s="3"/>
    </row>
    <row r="515" spans="1:21" x14ac:dyDescent="0.25">
      <c r="A515" t="s">
        <v>888</v>
      </c>
      <c r="B515" s="20">
        <v>45856</v>
      </c>
      <c r="C515" t="s">
        <v>40</v>
      </c>
      <c r="D515" t="s">
        <v>131</v>
      </c>
      <c r="E515" t="s">
        <v>132</v>
      </c>
      <c r="F515" t="s">
        <v>80</v>
      </c>
      <c r="G515" t="s">
        <v>44</v>
      </c>
      <c r="H515" t="s">
        <v>34</v>
      </c>
      <c r="I515" t="s">
        <v>93</v>
      </c>
      <c r="J515" t="s">
        <v>46</v>
      </c>
      <c r="K515">
        <v>3</v>
      </c>
      <c r="L515" s="3">
        <v>99750</v>
      </c>
      <c r="M515" s="3">
        <v>82000</v>
      </c>
      <c r="N515">
        <v>0</v>
      </c>
      <c r="O515" t="s">
        <v>64</v>
      </c>
      <c r="P515" t="s">
        <v>72</v>
      </c>
      <c r="Q515" s="3">
        <f>Table13[[#This Row],[Quantity]]*Table13[[#This Row],[UnitPrice_NGN]]</f>
        <v>299250</v>
      </c>
      <c r="R515" s="9">
        <f>Table13[[#This Row],[GrossRevenue]]*(1-Table13[[#This Row],[DiscountRate]])</f>
        <v>299250</v>
      </c>
      <c r="S515" s="3">
        <f>Table13[[#This Row],[Quantity]]*Table13[[#This Row],[UnitCost_NGN]]</f>
        <v>246000</v>
      </c>
      <c r="T515" s="3">
        <f>Table13[[#This Row],[NetRevenue]]-Table13[[#This Row],[TotalCost]]</f>
        <v>53250</v>
      </c>
      <c r="U515" s="3"/>
    </row>
    <row r="516" spans="1:21" x14ac:dyDescent="0.25">
      <c r="A516" t="s">
        <v>889</v>
      </c>
      <c r="B516" s="20">
        <v>45771</v>
      </c>
      <c r="C516" t="s">
        <v>30</v>
      </c>
      <c r="D516" t="s">
        <v>31</v>
      </c>
      <c r="E516" t="s">
        <v>32</v>
      </c>
      <c r="F516" t="s">
        <v>21</v>
      </c>
      <c r="G516" t="s">
        <v>44</v>
      </c>
      <c r="H516" t="s">
        <v>34</v>
      </c>
      <c r="I516" t="s">
        <v>113</v>
      </c>
      <c r="J516" t="s">
        <v>36</v>
      </c>
      <c r="K516">
        <v>3</v>
      </c>
      <c r="L516" s="3">
        <v>144000</v>
      </c>
      <c r="M516" s="3">
        <v>115000</v>
      </c>
      <c r="N516">
        <v>0.05</v>
      </c>
      <c r="O516" t="s">
        <v>52</v>
      </c>
      <c r="P516" t="s">
        <v>27</v>
      </c>
      <c r="Q516" s="3">
        <f>Table13[[#This Row],[Quantity]]*Table13[[#This Row],[UnitPrice_NGN]]</f>
        <v>432000</v>
      </c>
      <c r="R516" s="9">
        <f>Table13[[#This Row],[GrossRevenue]]*(1-Table13[[#This Row],[DiscountRate]])</f>
        <v>410400</v>
      </c>
      <c r="S516" s="3">
        <f>Table13[[#This Row],[Quantity]]*Table13[[#This Row],[UnitCost_NGN]]</f>
        <v>345000</v>
      </c>
      <c r="T516" s="3">
        <f>Table13[[#This Row],[NetRevenue]]-Table13[[#This Row],[TotalCost]]</f>
        <v>65400</v>
      </c>
      <c r="U516" s="3"/>
    </row>
    <row r="517" spans="1:21" x14ac:dyDescent="0.25">
      <c r="A517" t="s">
        <v>890</v>
      </c>
      <c r="B517" s="20">
        <v>45784</v>
      </c>
      <c r="C517" t="s">
        <v>40</v>
      </c>
      <c r="D517" t="s">
        <v>110</v>
      </c>
      <c r="E517" t="s">
        <v>111</v>
      </c>
      <c r="F517" t="s">
        <v>85</v>
      </c>
      <c r="G517" t="s">
        <v>22</v>
      </c>
      <c r="H517" t="s">
        <v>23</v>
      </c>
      <c r="I517" t="s">
        <v>75</v>
      </c>
      <c r="J517" t="s">
        <v>36</v>
      </c>
      <c r="K517">
        <v>8</v>
      </c>
      <c r="L517" s="3">
        <v>180000</v>
      </c>
      <c r="M517" s="3">
        <v>130000</v>
      </c>
      <c r="N517">
        <v>0.05</v>
      </c>
      <c r="O517" t="s">
        <v>26</v>
      </c>
      <c r="P517" t="s">
        <v>72</v>
      </c>
      <c r="Q517" s="3">
        <f>Table13[[#This Row],[Quantity]]*Table13[[#This Row],[UnitPrice_NGN]]</f>
        <v>1440000</v>
      </c>
      <c r="R517" s="9">
        <f>Table13[[#This Row],[GrossRevenue]]*(1-Table13[[#This Row],[DiscountRate]])</f>
        <v>1368000</v>
      </c>
      <c r="S517" s="3">
        <f>Table13[[#This Row],[Quantity]]*Table13[[#This Row],[UnitCost_NGN]]</f>
        <v>1040000</v>
      </c>
      <c r="T517" s="3">
        <f>Table13[[#This Row],[NetRevenue]]-Table13[[#This Row],[TotalCost]]</f>
        <v>328000</v>
      </c>
      <c r="U517" s="3"/>
    </row>
    <row r="518" spans="1:21" x14ac:dyDescent="0.25">
      <c r="A518" t="s">
        <v>891</v>
      </c>
      <c r="B518" s="20">
        <v>45713</v>
      </c>
      <c r="C518" t="s">
        <v>40</v>
      </c>
      <c r="D518" t="s">
        <v>88</v>
      </c>
      <c r="E518" t="s">
        <v>89</v>
      </c>
      <c r="F518" t="s">
        <v>43</v>
      </c>
      <c r="G518" t="s">
        <v>22</v>
      </c>
      <c r="H518" t="s">
        <v>34</v>
      </c>
      <c r="I518" t="s">
        <v>102</v>
      </c>
      <c r="J518" t="s">
        <v>25</v>
      </c>
      <c r="K518">
        <v>3</v>
      </c>
      <c r="L518" s="3">
        <v>44100</v>
      </c>
      <c r="M518" s="3">
        <v>24700</v>
      </c>
      <c r="N518">
        <v>0.1</v>
      </c>
      <c r="O518" t="s">
        <v>26</v>
      </c>
      <c r="P518" t="s">
        <v>72</v>
      </c>
      <c r="Q518" s="3">
        <f>Table13[[#This Row],[Quantity]]*Table13[[#This Row],[UnitPrice_NGN]]</f>
        <v>132300</v>
      </c>
      <c r="R518" s="9">
        <f>Table13[[#This Row],[GrossRevenue]]*(1-Table13[[#This Row],[DiscountRate]])</f>
        <v>119070</v>
      </c>
      <c r="S518" s="3">
        <f>Table13[[#This Row],[Quantity]]*Table13[[#This Row],[UnitCost_NGN]]</f>
        <v>74100</v>
      </c>
      <c r="T518" s="3">
        <f>Table13[[#This Row],[NetRevenue]]-Table13[[#This Row],[TotalCost]]</f>
        <v>44970</v>
      </c>
      <c r="U518" s="3"/>
    </row>
    <row r="519" spans="1:21" x14ac:dyDescent="0.25">
      <c r="A519" t="s">
        <v>892</v>
      </c>
      <c r="B519" s="20">
        <v>45807</v>
      </c>
      <c r="C519" t="s">
        <v>40</v>
      </c>
      <c r="D519" t="s">
        <v>31</v>
      </c>
      <c r="E519" t="s">
        <v>32</v>
      </c>
      <c r="F519" t="s">
        <v>21</v>
      </c>
      <c r="G519" t="s">
        <v>62</v>
      </c>
      <c r="H519" t="s">
        <v>63</v>
      </c>
      <c r="I519" t="s">
        <v>102</v>
      </c>
      <c r="J519" t="s">
        <v>25</v>
      </c>
      <c r="K519">
        <v>4</v>
      </c>
      <c r="L519" s="3">
        <v>42000</v>
      </c>
      <c r="M519" s="3">
        <v>24700</v>
      </c>
      <c r="N519">
        <v>0</v>
      </c>
      <c r="O519" t="s">
        <v>37</v>
      </c>
      <c r="P519" t="s">
        <v>72</v>
      </c>
      <c r="Q519" s="3">
        <f>Table13[[#This Row],[Quantity]]*Table13[[#This Row],[UnitPrice_NGN]]</f>
        <v>168000</v>
      </c>
      <c r="R519" s="9">
        <f>Table13[[#This Row],[GrossRevenue]]*(1-Table13[[#This Row],[DiscountRate]])</f>
        <v>168000</v>
      </c>
      <c r="S519" s="3">
        <f>Table13[[#This Row],[Quantity]]*Table13[[#This Row],[UnitCost_NGN]]</f>
        <v>98800</v>
      </c>
      <c r="T519" s="3">
        <f>Table13[[#This Row],[NetRevenue]]-Table13[[#This Row],[TotalCost]]</f>
        <v>69200</v>
      </c>
      <c r="U519" s="3"/>
    </row>
    <row r="520" spans="1:21" x14ac:dyDescent="0.25">
      <c r="A520" t="s">
        <v>894</v>
      </c>
      <c r="B520" s="20">
        <v>45988</v>
      </c>
      <c r="C520" t="s">
        <v>18</v>
      </c>
      <c r="D520" t="s">
        <v>83</v>
      </c>
      <c r="E520" t="s">
        <v>84</v>
      </c>
      <c r="F520" t="s">
        <v>85</v>
      </c>
      <c r="G520" t="s">
        <v>22</v>
      </c>
      <c r="H520" t="s">
        <v>34</v>
      </c>
      <c r="I520" t="s">
        <v>75</v>
      </c>
      <c r="J520" t="s">
        <v>36</v>
      </c>
      <c r="K520">
        <v>2</v>
      </c>
      <c r="L520" s="3">
        <v>162000</v>
      </c>
      <c r="M520" s="3">
        <v>130000</v>
      </c>
      <c r="N520">
        <v>0.05</v>
      </c>
      <c r="O520" t="s">
        <v>90</v>
      </c>
      <c r="P520" t="s">
        <v>72</v>
      </c>
      <c r="Q520" s="3">
        <f>Table13[[#This Row],[Quantity]]*Table13[[#This Row],[UnitPrice_NGN]]</f>
        <v>324000</v>
      </c>
      <c r="R520" s="9">
        <f>Table13[[#This Row],[GrossRevenue]]*(1-Table13[[#This Row],[DiscountRate]])</f>
        <v>307800</v>
      </c>
      <c r="S520" s="3">
        <f>Table13[[#This Row],[Quantity]]*Table13[[#This Row],[UnitCost_NGN]]</f>
        <v>260000</v>
      </c>
      <c r="T520" s="3">
        <f>Table13[[#This Row],[NetRevenue]]-Table13[[#This Row],[TotalCost]]</f>
        <v>47800</v>
      </c>
      <c r="U520" s="3"/>
    </row>
    <row r="521" spans="1:21" x14ac:dyDescent="0.25">
      <c r="A521" t="s">
        <v>895</v>
      </c>
      <c r="B521" s="20">
        <v>45960</v>
      </c>
      <c r="C521" t="s">
        <v>18</v>
      </c>
      <c r="D521" t="s">
        <v>83</v>
      </c>
      <c r="E521" t="s">
        <v>84</v>
      </c>
      <c r="F521" t="s">
        <v>85</v>
      </c>
      <c r="G521" t="s">
        <v>33</v>
      </c>
      <c r="H521" t="s">
        <v>96</v>
      </c>
      <c r="I521" t="s">
        <v>55</v>
      </c>
      <c r="J521" t="s">
        <v>56</v>
      </c>
      <c r="K521">
        <v>2</v>
      </c>
      <c r="L521" s="3">
        <v>43200</v>
      </c>
      <c r="M521" s="3">
        <v>30000</v>
      </c>
      <c r="N521">
        <v>0.05</v>
      </c>
      <c r="O521" t="s">
        <v>57</v>
      </c>
      <c r="P521" t="s">
        <v>27</v>
      </c>
      <c r="Q521" s="3">
        <f>Table13[[#This Row],[Quantity]]*Table13[[#This Row],[UnitPrice_NGN]]</f>
        <v>86400</v>
      </c>
      <c r="R521" s="9">
        <f>Table13[[#This Row],[GrossRevenue]]*(1-Table13[[#This Row],[DiscountRate]])</f>
        <v>82080</v>
      </c>
      <c r="S521" s="3">
        <f>Table13[[#This Row],[Quantity]]*Table13[[#This Row],[UnitCost_NGN]]</f>
        <v>60000</v>
      </c>
      <c r="T521" s="3">
        <f>Table13[[#This Row],[NetRevenue]]-Table13[[#This Row],[TotalCost]]</f>
        <v>22080</v>
      </c>
      <c r="U521" s="3"/>
    </row>
    <row r="522" spans="1:21" x14ac:dyDescent="0.25">
      <c r="A522" t="s">
        <v>897</v>
      </c>
      <c r="B522" s="20">
        <v>45721</v>
      </c>
      <c r="C522" t="s">
        <v>18</v>
      </c>
      <c r="D522" t="s">
        <v>136</v>
      </c>
      <c r="E522" t="s">
        <v>137</v>
      </c>
      <c r="F522" t="s">
        <v>122</v>
      </c>
      <c r="G522" t="s">
        <v>33</v>
      </c>
      <c r="H522" t="s">
        <v>63</v>
      </c>
      <c r="I522" t="s">
        <v>105</v>
      </c>
      <c r="J522" t="s">
        <v>71</v>
      </c>
      <c r="K522">
        <v>5</v>
      </c>
      <c r="L522" s="3">
        <v>183750</v>
      </c>
      <c r="M522" s="3">
        <v>120000</v>
      </c>
      <c r="N522">
        <v>0.15</v>
      </c>
      <c r="O522" t="s">
        <v>52</v>
      </c>
      <c r="P522" t="s">
        <v>48</v>
      </c>
      <c r="Q522" s="3">
        <f>Table13[[#This Row],[Quantity]]*Table13[[#This Row],[UnitPrice_NGN]]</f>
        <v>918750</v>
      </c>
      <c r="R522" s="9">
        <f>Table13[[#This Row],[GrossRevenue]]*(1-Table13[[#This Row],[DiscountRate]])</f>
        <v>780937.5</v>
      </c>
      <c r="S522" s="3">
        <f>Table13[[#This Row],[Quantity]]*Table13[[#This Row],[UnitCost_NGN]]</f>
        <v>600000</v>
      </c>
      <c r="T522" s="3">
        <f>Table13[[#This Row],[NetRevenue]]-Table13[[#This Row],[TotalCost]]</f>
        <v>180937.5</v>
      </c>
      <c r="U522" s="3"/>
    </row>
    <row r="523" spans="1:21" x14ac:dyDescent="0.25">
      <c r="A523" t="s">
        <v>899</v>
      </c>
      <c r="B523" s="20">
        <v>45939</v>
      </c>
      <c r="C523" t="s">
        <v>18</v>
      </c>
      <c r="D523" t="s">
        <v>136</v>
      </c>
      <c r="E523" t="s">
        <v>137</v>
      </c>
      <c r="F523" t="s">
        <v>122</v>
      </c>
      <c r="G523" t="s">
        <v>44</v>
      </c>
      <c r="H523" t="s">
        <v>63</v>
      </c>
      <c r="I523" t="s">
        <v>93</v>
      </c>
      <c r="J523" t="s">
        <v>46</v>
      </c>
      <c r="K523">
        <v>3</v>
      </c>
      <c r="L523" s="3">
        <v>104500</v>
      </c>
      <c r="M523" s="3">
        <v>82000</v>
      </c>
      <c r="N523">
        <v>0.05</v>
      </c>
      <c r="O523" t="s">
        <v>90</v>
      </c>
      <c r="P523" t="s">
        <v>72</v>
      </c>
      <c r="Q523" s="3">
        <f>Table13[[#This Row],[Quantity]]*Table13[[#This Row],[UnitPrice_NGN]]</f>
        <v>313500</v>
      </c>
      <c r="R523" s="9">
        <f>Table13[[#This Row],[GrossRevenue]]*(1-Table13[[#This Row],[DiscountRate]])</f>
        <v>297825</v>
      </c>
      <c r="S523" s="3">
        <f>Table13[[#This Row],[Quantity]]*Table13[[#This Row],[UnitCost_NGN]]</f>
        <v>246000</v>
      </c>
      <c r="T523" s="3">
        <f>Table13[[#This Row],[NetRevenue]]-Table13[[#This Row],[TotalCost]]</f>
        <v>51825</v>
      </c>
      <c r="U523" s="3"/>
    </row>
    <row r="524" spans="1:21" x14ac:dyDescent="0.25">
      <c r="A524" t="s">
        <v>900</v>
      </c>
      <c r="B524" s="20">
        <v>45815</v>
      </c>
      <c r="C524" t="s">
        <v>30</v>
      </c>
      <c r="D524" t="s">
        <v>157</v>
      </c>
      <c r="E524" t="s">
        <v>158</v>
      </c>
      <c r="F524" t="s">
        <v>21</v>
      </c>
      <c r="G524" t="s">
        <v>33</v>
      </c>
      <c r="H524" t="s">
        <v>63</v>
      </c>
      <c r="I524" t="s">
        <v>75</v>
      </c>
      <c r="J524" t="s">
        <v>36</v>
      </c>
      <c r="K524">
        <v>1</v>
      </c>
      <c r="L524" s="3">
        <v>189000</v>
      </c>
      <c r="M524" s="3">
        <v>123500</v>
      </c>
      <c r="N524">
        <v>0.05</v>
      </c>
      <c r="O524" t="s">
        <v>90</v>
      </c>
      <c r="P524" t="s">
        <v>48</v>
      </c>
      <c r="Q524" s="3">
        <f>Table13[[#This Row],[Quantity]]*Table13[[#This Row],[UnitPrice_NGN]]</f>
        <v>189000</v>
      </c>
      <c r="R524" s="9">
        <f>Table13[[#This Row],[GrossRevenue]]*(1-Table13[[#This Row],[DiscountRate]])</f>
        <v>179550</v>
      </c>
      <c r="S524" s="3">
        <f>Table13[[#This Row],[Quantity]]*Table13[[#This Row],[UnitCost_NGN]]</f>
        <v>123500</v>
      </c>
      <c r="T524" s="3">
        <f>Table13[[#This Row],[NetRevenue]]-Table13[[#This Row],[TotalCost]]</f>
        <v>56050</v>
      </c>
      <c r="U524" s="3"/>
    </row>
    <row r="525" spans="1:21" x14ac:dyDescent="0.25">
      <c r="A525" t="s">
        <v>901</v>
      </c>
      <c r="B525" s="20">
        <v>45892</v>
      </c>
      <c r="C525" t="s">
        <v>40</v>
      </c>
      <c r="D525" t="s">
        <v>157</v>
      </c>
      <c r="E525" t="s">
        <v>158</v>
      </c>
      <c r="F525" t="s">
        <v>21</v>
      </c>
      <c r="G525" t="s">
        <v>22</v>
      </c>
      <c r="H525" t="s">
        <v>23</v>
      </c>
      <c r="I525" t="s">
        <v>51</v>
      </c>
      <c r="J525" t="s">
        <v>36</v>
      </c>
      <c r="K525">
        <v>12</v>
      </c>
      <c r="L525" s="3">
        <v>252000</v>
      </c>
      <c r="M525" s="3">
        <v>210000</v>
      </c>
      <c r="N525">
        <v>0</v>
      </c>
      <c r="O525" t="s">
        <v>37</v>
      </c>
      <c r="P525" t="s">
        <v>72</v>
      </c>
      <c r="Q525" s="3">
        <f>Table13[[#This Row],[Quantity]]*Table13[[#This Row],[UnitPrice_NGN]]</f>
        <v>3024000</v>
      </c>
      <c r="R525" s="9">
        <f>Table13[[#This Row],[GrossRevenue]]*(1-Table13[[#This Row],[DiscountRate]])</f>
        <v>3024000</v>
      </c>
      <c r="S525" s="3">
        <f>Table13[[#This Row],[Quantity]]*Table13[[#This Row],[UnitCost_NGN]]</f>
        <v>2520000</v>
      </c>
      <c r="T525" s="3">
        <f>Table13[[#This Row],[NetRevenue]]-Table13[[#This Row],[TotalCost]]</f>
        <v>504000</v>
      </c>
      <c r="U525" s="3"/>
    </row>
    <row r="526" spans="1:21" x14ac:dyDescent="0.25">
      <c r="A526" t="s">
        <v>903</v>
      </c>
      <c r="B526" s="20">
        <v>45884</v>
      </c>
      <c r="C526" t="s">
        <v>30</v>
      </c>
      <c r="D526" t="s">
        <v>60</v>
      </c>
      <c r="E526" t="s">
        <v>61</v>
      </c>
      <c r="F526" t="s">
        <v>43</v>
      </c>
      <c r="G526" t="s">
        <v>22</v>
      </c>
      <c r="H526" t="s">
        <v>34</v>
      </c>
      <c r="I526" t="s">
        <v>113</v>
      </c>
      <c r="J526" t="s">
        <v>36</v>
      </c>
      <c r="K526">
        <v>4</v>
      </c>
      <c r="L526" s="3">
        <v>160000</v>
      </c>
      <c r="M526" s="3">
        <v>120750</v>
      </c>
      <c r="N526">
        <v>0.05</v>
      </c>
      <c r="O526" t="s">
        <v>57</v>
      </c>
      <c r="P526" t="s">
        <v>48</v>
      </c>
      <c r="Q526" s="3">
        <f>Table13[[#This Row],[Quantity]]*Table13[[#This Row],[UnitPrice_NGN]]</f>
        <v>640000</v>
      </c>
      <c r="R526" s="9">
        <f>Table13[[#This Row],[GrossRevenue]]*(1-Table13[[#This Row],[DiscountRate]])</f>
        <v>608000</v>
      </c>
      <c r="S526" s="3">
        <f>Table13[[#This Row],[Quantity]]*Table13[[#This Row],[UnitCost_NGN]]</f>
        <v>483000</v>
      </c>
      <c r="T526" s="3">
        <f>Table13[[#This Row],[NetRevenue]]-Table13[[#This Row],[TotalCost]]</f>
        <v>125000</v>
      </c>
      <c r="U526" s="3"/>
    </row>
    <row r="527" spans="1:21" x14ac:dyDescent="0.25">
      <c r="A527" t="s">
        <v>904</v>
      </c>
      <c r="B527" s="20">
        <v>45752</v>
      </c>
      <c r="C527" t="s">
        <v>18</v>
      </c>
      <c r="D527" t="s">
        <v>120</v>
      </c>
      <c r="E527" t="s">
        <v>121</v>
      </c>
      <c r="F527" t="s">
        <v>122</v>
      </c>
      <c r="G527" t="s">
        <v>62</v>
      </c>
      <c r="H527" t="s">
        <v>96</v>
      </c>
      <c r="I527" t="s">
        <v>45</v>
      </c>
      <c r="J527" t="s">
        <v>46</v>
      </c>
      <c r="K527">
        <v>4</v>
      </c>
      <c r="L527" s="3">
        <v>20350</v>
      </c>
      <c r="M527" s="3">
        <v>14500</v>
      </c>
      <c r="N527">
        <v>0</v>
      </c>
      <c r="O527" t="s">
        <v>90</v>
      </c>
      <c r="P527" t="s">
        <v>48</v>
      </c>
      <c r="Q527" s="3">
        <f>Table13[[#This Row],[Quantity]]*Table13[[#This Row],[UnitPrice_NGN]]</f>
        <v>81400</v>
      </c>
      <c r="R527" s="9">
        <f>Table13[[#This Row],[GrossRevenue]]*(1-Table13[[#This Row],[DiscountRate]])</f>
        <v>81400</v>
      </c>
      <c r="S527" s="3">
        <f>Table13[[#This Row],[Quantity]]*Table13[[#This Row],[UnitCost_NGN]]</f>
        <v>58000</v>
      </c>
      <c r="T527" s="3">
        <f>Table13[[#This Row],[NetRevenue]]-Table13[[#This Row],[TotalCost]]</f>
        <v>23400</v>
      </c>
      <c r="U527" s="3"/>
    </row>
    <row r="528" spans="1:21" x14ac:dyDescent="0.25">
      <c r="A528" t="s">
        <v>906</v>
      </c>
      <c r="B528" s="20">
        <v>45702</v>
      </c>
      <c r="C528" t="s">
        <v>18</v>
      </c>
      <c r="D528" t="s">
        <v>120</v>
      </c>
      <c r="E528" t="s">
        <v>121</v>
      </c>
      <c r="F528" t="s">
        <v>122</v>
      </c>
      <c r="G528" t="s">
        <v>33</v>
      </c>
      <c r="H528" t="s">
        <v>34</v>
      </c>
      <c r="I528" t="s">
        <v>35</v>
      </c>
      <c r="J528" t="s">
        <v>36</v>
      </c>
      <c r="K528">
        <v>4</v>
      </c>
      <c r="L528" s="3">
        <v>450000</v>
      </c>
      <c r="M528" s="3">
        <v>350000</v>
      </c>
      <c r="N528">
        <v>0</v>
      </c>
      <c r="O528" t="s">
        <v>90</v>
      </c>
      <c r="P528" t="s">
        <v>48</v>
      </c>
      <c r="Q528" s="3">
        <f>Table13[[#This Row],[Quantity]]*Table13[[#This Row],[UnitPrice_NGN]]</f>
        <v>1800000</v>
      </c>
      <c r="R528" s="9">
        <f>Table13[[#This Row],[GrossRevenue]]*(1-Table13[[#This Row],[DiscountRate]])</f>
        <v>1800000</v>
      </c>
      <c r="S528" s="3">
        <f>Table13[[#This Row],[Quantity]]*Table13[[#This Row],[UnitCost_NGN]]</f>
        <v>1400000</v>
      </c>
      <c r="T528" s="3">
        <f>Table13[[#This Row],[NetRevenue]]-Table13[[#This Row],[TotalCost]]</f>
        <v>400000</v>
      </c>
      <c r="U528" s="3"/>
    </row>
    <row r="529" spans="1:21" x14ac:dyDescent="0.25">
      <c r="A529" t="s">
        <v>908</v>
      </c>
      <c r="B529" s="20">
        <v>45954</v>
      </c>
      <c r="C529" t="s">
        <v>18</v>
      </c>
      <c r="D529" t="s">
        <v>41</v>
      </c>
      <c r="E529" t="s">
        <v>42</v>
      </c>
      <c r="F529" t="s">
        <v>43</v>
      </c>
      <c r="G529" t="s">
        <v>22</v>
      </c>
      <c r="H529" t="s">
        <v>63</v>
      </c>
      <c r="I529" t="s">
        <v>24</v>
      </c>
      <c r="J529" t="s">
        <v>25</v>
      </c>
      <c r="K529">
        <v>4</v>
      </c>
      <c r="L529" s="3">
        <v>23100</v>
      </c>
      <c r="M529" s="3">
        <v>13000</v>
      </c>
      <c r="N529">
        <v>0.05</v>
      </c>
      <c r="O529" t="s">
        <v>47</v>
      </c>
      <c r="P529" t="s">
        <v>48</v>
      </c>
      <c r="Q529" s="3">
        <f>Table13[[#This Row],[Quantity]]*Table13[[#This Row],[UnitPrice_NGN]]</f>
        <v>92400</v>
      </c>
      <c r="R529" s="9">
        <f>Table13[[#This Row],[GrossRevenue]]*(1-Table13[[#This Row],[DiscountRate]])</f>
        <v>87780</v>
      </c>
      <c r="S529" s="3">
        <f>Table13[[#This Row],[Quantity]]*Table13[[#This Row],[UnitCost_NGN]]</f>
        <v>52000</v>
      </c>
      <c r="T529" s="3">
        <f>Table13[[#This Row],[NetRevenue]]-Table13[[#This Row],[TotalCost]]</f>
        <v>35780</v>
      </c>
      <c r="U529" s="3"/>
    </row>
    <row r="530" spans="1:21" x14ac:dyDescent="0.25">
      <c r="A530" t="s">
        <v>910</v>
      </c>
      <c r="B530" s="20">
        <v>45691</v>
      </c>
      <c r="C530" t="s">
        <v>40</v>
      </c>
      <c r="D530" t="s">
        <v>83</v>
      </c>
      <c r="E530" t="s">
        <v>84</v>
      </c>
      <c r="F530" t="s">
        <v>85</v>
      </c>
      <c r="G530" t="s">
        <v>44</v>
      </c>
      <c r="H530" t="s">
        <v>96</v>
      </c>
      <c r="I530" t="s">
        <v>105</v>
      </c>
      <c r="J530" t="s">
        <v>71</v>
      </c>
      <c r="K530">
        <v>8</v>
      </c>
      <c r="L530" s="3">
        <v>192500</v>
      </c>
      <c r="M530" s="3">
        <v>126000</v>
      </c>
      <c r="N530">
        <v>0.1</v>
      </c>
      <c r="O530" t="s">
        <v>57</v>
      </c>
      <c r="P530" t="s">
        <v>48</v>
      </c>
      <c r="Q530" s="3">
        <f>Table13[[#This Row],[Quantity]]*Table13[[#This Row],[UnitPrice_NGN]]</f>
        <v>1540000</v>
      </c>
      <c r="R530" s="9">
        <f>Table13[[#This Row],[GrossRevenue]]*(1-Table13[[#This Row],[DiscountRate]])</f>
        <v>1386000</v>
      </c>
      <c r="S530" s="3">
        <f>Table13[[#This Row],[Quantity]]*Table13[[#This Row],[UnitCost_NGN]]</f>
        <v>1008000</v>
      </c>
      <c r="T530" s="3">
        <f>Table13[[#This Row],[NetRevenue]]-Table13[[#This Row],[TotalCost]]</f>
        <v>378000</v>
      </c>
      <c r="U530" s="3"/>
    </row>
    <row r="531" spans="1:21" x14ac:dyDescent="0.25">
      <c r="A531" t="s">
        <v>911</v>
      </c>
      <c r="B531" s="20">
        <v>45687</v>
      </c>
      <c r="C531" t="s">
        <v>30</v>
      </c>
      <c r="D531" t="s">
        <v>78</v>
      </c>
      <c r="E531" t="s">
        <v>79</v>
      </c>
      <c r="F531" t="s">
        <v>80</v>
      </c>
      <c r="G531" t="s">
        <v>22</v>
      </c>
      <c r="H531" t="s">
        <v>112</v>
      </c>
      <c r="I531" t="s">
        <v>105</v>
      </c>
      <c r="J531" t="s">
        <v>71</v>
      </c>
      <c r="K531">
        <v>3</v>
      </c>
      <c r="L531" s="3">
        <v>166250</v>
      </c>
      <c r="M531" s="3">
        <v>120000</v>
      </c>
      <c r="N531">
        <v>0.1</v>
      </c>
      <c r="O531" t="s">
        <v>57</v>
      </c>
      <c r="P531" t="s">
        <v>48</v>
      </c>
      <c r="Q531" s="3">
        <f>Table13[[#This Row],[Quantity]]*Table13[[#This Row],[UnitPrice_NGN]]</f>
        <v>498750</v>
      </c>
      <c r="R531" s="9">
        <f>Table13[[#This Row],[GrossRevenue]]*(1-Table13[[#This Row],[DiscountRate]])</f>
        <v>448875</v>
      </c>
      <c r="S531" s="3">
        <f>Table13[[#This Row],[Quantity]]*Table13[[#This Row],[UnitCost_NGN]]</f>
        <v>360000</v>
      </c>
      <c r="T531" s="3">
        <f>Table13[[#This Row],[NetRevenue]]-Table13[[#This Row],[TotalCost]]</f>
        <v>88875</v>
      </c>
      <c r="U531" s="3"/>
    </row>
    <row r="532" spans="1:21" x14ac:dyDescent="0.25">
      <c r="A532" t="s">
        <v>912</v>
      </c>
      <c r="B532" s="20">
        <v>45972</v>
      </c>
      <c r="C532" t="s">
        <v>40</v>
      </c>
      <c r="D532" t="s">
        <v>131</v>
      </c>
      <c r="E532" t="s">
        <v>132</v>
      </c>
      <c r="F532" t="s">
        <v>80</v>
      </c>
      <c r="G532" t="s">
        <v>33</v>
      </c>
      <c r="H532" t="s">
        <v>112</v>
      </c>
      <c r="I532" t="s">
        <v>55</v>
      </c>
      <c r="J532" t="s">
        <v>56</v>
      </c>
      <c r="K532">
        <v>8</v>
      </c>
      <c r="L532" s="3">
        <v>48000</v>
      </c>
      <c r="M532" s="3">
        <v>30000</v>
      </c>
      <c r="N532">
        <v>0</v>
      </c>
      <c r="O532" t="s">
        <v>90</v>
      </c>
      <c r="P532" t="s">
        <v>133</v>
      </c>
      <c r="Q532" s="3">
        <f>Table13[[#This Row],[Quantity]]*Table13[[#This Row],[UnitPrice_NGN]]</f>
        <v>384000</v>
      </c>
      <c r="R532" s="9">
        <f>Table13[[#This Row],[GrossRevenue]]*(1-Table13[[#This Row],[DiscountRate]])</f>
        <v>384000</v>
      </c>
      <c r="S532" s="3">
        <f>Table13[[#This Row],[Quantity]]*Table13[[#This Row],[UnitCost_NGN]]</f>
        <v>240000</v>
      </c>
      <c r="T532" s="3">
        <f>Table13[[#This Row],[NetRevenue]]-Table13[[#This Row],[TotalCost]]</f>
        <v>144000</v>
      </c>
      <c r="U532" s="3"/>
    </row>
    <row r="533" spans="1:21" x14ac:dyDescent="0.25">
      <c r="A533" t="s">
        <v>913</v>
      </c>
      <c r="B533" s="20">
        <v>45670</v>
      </c>
      <c r="C533" t="s">
        <v>30</v>
      </c>
      <c r="D533" t="s">
        <v>60</v>
      </c>
      <c r="E533" t="s">
        <v>61</v>
      </c>
      <c r="F533" t="s">
        <v>43</v>
      </c>
      <c r="G533" t="s">
        <v>22</v>
      </c>
      <c r="H533" t="s">
        <v>34</v>
      </c>
      <c r="I533" t="s">
        <v>45</v>
      </c>
      <c r="J533" t="s">
        <v>46</v>
      </c>
      <c r="K533">
        <v>5</v>
      </c>
      <c r="L533" s="3">
        <v>17575</v>
      </c>
      <c r="M533" s="3">
        <v>13775</v>
      </c>
      <c r="N533">
        <v>0</v>
      </c>
      <c r="O533" t="s">
        <v>26</v>
      </c>
      <c r="P533" t="s">
        <v>72</v>
      </c>
      <c r="Q533" s="3">
        <f>Table13[[#This Row],[Quantity]]*Table13[[#This Row],[UnitPrice_NGN]]</f>
        <v>87875</v>
      </c>
      <c r="R533" s="9">
        <f>Table13[[#This Row],[GrossRevenue]]*(1-Table13[[#This Row],[DiscountRate]])</f>
        <v>87875</v>
      </c>
      <c r="S533" s="3">
        <f>Table13[[#This Row],[Quantity]]*Table13[[#This Row],[UnitCost_NGN]]</f>
        <v>68875</v>
      </c>
      <c r="T533" s="3">
        <f>Table13[[#This Row],[NetRevenue]]-Table13[[#This Row],[TotalCost]]</f>
        <v>19000</v>
      </c>
      <c r="U533" s="3"/>
    </row>
    <row r="534" spans="1:21" x14ac:dyDescent="0.25">
      <c r="A534" t="s">
        <v>915</v>
      </c>
      <c r="B534" s="20">
        <v>45985</v>
      </c>
      <c r="C534" t="s">
        <v>30</v>
      </c>
      <c r="D534" t="s">
        <v>31</v>
      </c>
      <c r="E534" t="s">
        <v>32</v>
      </c>
      <c r="F534" t="s">
        <v>21</v>
      </c>
      <c r="G534" t="s">
        <v>62</v>
      </c>
      <c r="H534" t="s">
        <v>63</v>
      </c>
      <c r="I534" t="s">
        <v>55</v>
      </c>
      <c r="J534" t="s">
        <v>56</v>
      </c>
      <c r="K534">
        <v>2</v>
      </c>
      <c r="L534" s="3">
        <v>48000</v>
      </c>
      <c r="M534" s="3">
        <v>30000</v>
      </c>
      <c r="N534">
        <v>0</v>
      </c>
      <c r="O534" t="s">
        <v>52</v>
      </c>
      <c r="P534" t="s">
        <v>48</v>
      </c>
      <c r="Q534" s="3">
        <f>Table13[[#This Row],[Quantity]]*Table13[[#This Row],[UnitPrice_NGN]]</f>
        <v>96000</v>
      </c>
      <c r="R534" s="9">
        <f>Table13[[#This Row],[GrossRevenue]]*(1-Table13[[#This Row],[DiscountRate]])</f>
        <v>96000</v>
      </c>
      <c r="S534" s="3">
        <f>Table13[[#This Row],[Quantity]]*Table13[[#This Row],[UnitCost_NGN]]</f>
        <v>60000</v>
      </c>
      <c r="T534" s="3">
        <f>Table13[[#This Row],[NetRevenue]]-Table13[[#This Row],[TotalCost]]</f>
        <v>36000</v>
      </c>
      <c r="U534" s="3"/>
    </row>
    <row r="535" spans="1:21" x14ac:dyDescent="0.25">
      <c r="A535" t="s">
        <v>917</v>
      </c>
      <c r="B535" s="20">
        <v>46009</v>
      </c>
      <c r="C535" t="s">
        <v>40</v>
      </c>
      <c r="D535" t="s">
        <v>41</v>
      </c>
      <c r="E535" t="s">
        <v>42</v>
      </c>
      <c r="F535" t="s">
        <v>43</v>
      </c>
      <c r="G535" t="s">
        <v>33</v>
      </c>
      <c r="H535" t="s">
        <v>23</v>
      </c>
      <c r="I535" t="s">
        <v>70</v>
      </c>
      <c r="J535" t="s">
        <v>71</v>
      </c>
      <c r="K535">
        <v>3</v>
      </c>
      <c r="L535" s="3">
        <v>95000</v>
      </c>
      <c r="M535" s="3">
        <v>58900</v>
      </c>
      <c r="N535">
        <v>0</v>
      </c>
      <c r="O535" t="s">
        <v>148</v>
      </c>
      <c r="P535" t="s">
        <v>48</v>
      </c>
      <c r="Q535" s="3">
        <f>Table13[[#This Row],[Quantity]]*Table13[[#This Row],[UnitPrice_NGN]]</f>
        <v>285000</v>
      </c>
      <c r="R535" s="9">
        <f>Table13[[#This Row],[GrossRevenue]]*(1-Table13[[#This Row],[DiscountRate]])</f>
        <v>285000</v>
      </c>
      <c r="S535" s="3">
        <f>Table13[[#This Row],[Quantity]]*Table13[[#This Row],[UnitCost_NGN]]</f>
        <v>176700</v>
      </c>
      <c r="T535" s="3">
        <f>Table13[[#This Row],[NetRevenue]]-Table13[[#This Row],[TotalCost]]</f>
        <v>108300</v>
      </c>
      <c r="U535" s="3"/>
    </row>
    <row r="536" spans="1:21" x14ac:dyDescent="0.25">
      <c r="A536" t="s">
        <v>918</v>
      </c>
      <c r="B536" s="20">
        <v>45676</v>
      </c>
      <c r="C536" t="s">
        <v>18</v>
      </c>
      <c r="D536" t="s">
        <v>60</v>
      </c>
      <c r="E536" t="s">
        <v>61</v>
      </c>
      <c r="F536" t="s">
        <v>43</v>
      </c>
      <c r="G536" t="s">
        <v>33</v>
      </c>
      <c r="H536" t="s">
        <v>34</v>
      </c>
      <c r="I536" t="s">
        <v>75</v>
      </c>
      <c r="J536" t="s">
        <v>36</v>
      </c>
      <c r="K536">
        <v>2</v>
      </c>
      <c r="L536" s="3">
        <v>180000</v>
      </c>
      <c r="M536" s="3">
        <v>136500</v>
      </c>
      <c r="N536">
        <v>0.05</v>
      </c>
      <c r="O536" t="s">
        <v>37</v>
      </c>
      <c r="P536" t="s">
        <v>27</v>
      </c>
      <c r="Q536" s="3">
        <f>Table13[[#This Row],[Quantity]]*Table13[[#This Row],[UnitPrice_NGN]]</f>
        <v>360000</v>
      </c>
      <c r="R536" s="9">
        <f>Table13[[#This Row],[GrossRevenue]]*(1-Table13[[#This Row],[DiscountRate]])</f>
        <v>342000</v>
      </c>
      <c r="S536" s="3">
        <f>Table13[[#This Row],[Quantity]]*Table13[[#This Row],[UnitCost_NGN]]</f>
        <v>273000</v>
      </c>
      <c r="T536" s="3">
        <f>Table13[[#This Row],[NetRevenue]]-Table13[[#This Row],[TotalCost]]</f>
        <v>69000</v>
      </c>
      <c r="U536" s="3"/>
    </row>
    <row r="537" spans="1:21" x14ac:dyDescent="0.25">
      <c r="A537" t="s">
        <v>919</v>
      </c>
      <c r="B537" s="20">
        <v>45686</v>
      </c>
      <c r="C537" t="s">
        <v>40</v>
      </c>
      <c r="D537" t="s">
        <v>88</v>
      </c>
      <c r="E537" t="s">
        <v>89</v>
      </c>
      <c r="F537" t="s">
        <v>43</v>
      </c>
      <c r="G537" t="s">
        <v>62</v>
      </c>
      <c r="H537" t="s">
        <v>23</v>
      </c>
      <c r="I537" t="s">
        <v>93</v>
      </c>
      <c r="J537" t="s">
        <v>46</v>
      </c>
      <c r="K537">
        <v>3</v>
      </c>
      <c r="L537" s="3">
        <v>104500</v>
      </c>
      <c r="M537" s="3">
        <v>86100</v>
      </c>
      <c r="N537">
        <v>0.15</v>
      </c>
      <c r="O537" t="s">
        <v>148</v>
      </c>
      <c r="P537" t="s">
        <v>133</v>
      </c>
      <c r="Q537" s="3">
        <f>Table13[[#This Row],[Quantity]]*Table13[[#This Row],[UnitPrice_NGN]]</f>
        <v>313500</v>
      </c>
      <c r="R537" s="9">
        <f>Table13[[#This Row],[GrossRevenue]]*(1-Table13[[#This Row],[DiscountRate]])</f>
        <v>266475</v>
      </c>
      <c r="S537" s="3">
        <f>Table13[[#This Row],[Quantity]]*Table13[[#This Row],[UnitCost_NGN]]</f>
        <v>258300</v>
      </c>
      <c r="T537" s="3">
        <f>Table13[[#This Row],[NetRevenue]]-Table13[[#This Row],[TotalCost]]</f>
        <v>8175</v>
      </c>
      <c r="U537" s="3"/>
    </row>
    <row r="538" spans="1:21" x14ac:dyDescent="0.25">
      <c r="A538" t="s">
        <v>921</v>
      </c>
      <c r="B538" s="20">
        <v>45734</v>
      </c>
      <c r="C538" t="s">
        <v>18</v>
      </c>
      <c r="D538" t="s">
        <v>131</v>
      </c>
      <c r="E538" t="s">
        <v>132</v>
      </c>
      <c r="F538" t="s">
        <v>80</v>
      </c>
      <c r="G538" t="s">
        <v>62</v>
      </c>
      <c r="H538" t="s">
        <v>112</v>
      </c>
      <c r="I538" t="s">
        <v>113</v>
      </c>
      <c r="J538" t="s">
        <v>36</v>
      </c>
      <c r="K538">
        <v>5</v>
      </c>
      <c r="L538" s="3">
        <v>176000</v>
      </c>
      <c r="M538" s="3">
        <v>115000</v>
      </c>
      <c r="N538">
        <v>0</v>
      </c>
      <c r="O538" t="s">
        <v>90</v>
      </c>
      <c r="P538" t="s">
        <v>48</v>
      </c>
      <c r="Q538" s="3">
        <f>Table13[[#This Row],[Quantity]]*Table13[[#This Row],[UnitPrice_NGN]]</f>
        <v>880000</v>
      </c>
      <c r="R538" s="9">
        <f>Table13[[#This Row],[GrossRevenue]]*(1-Table13[[#This Row],[DiscountRate]])</f>
        <v>880000</v>
      </c>
      <c r="S538" s="3">
        <f>Table13[[#This Row],[Quantity]]*Table13[[#This Row],[UnitCost_NGN]]</f>
        <v>575000</v>
      </c>
      <c r="T538" s="3">
        <f>Table13[[#This Row],[NetRevenue]]-Table13[[#This Row],[TotalCost]]</f>
        <v>305000</v>
      </c>
      <c r="U538" s="3"/>
    </row>
    <row r="539" spans="1:21" x14ac:dyDescent="0.25">
      <c r="A539" t="s">
        <v>922</v>
      </c>
      <c r="B539" s="20">
        <v>46019</v>
      </c>
      <c r="C539" t="s">
        <v>30</v>
      </c>
      <c r="D539" t="s">
        <v>131</v>
      </c>
      <c r="E539" t="s">
        <v>132</v>
      </c>
      <c r="F539" t="s">
        <v>80</v>
      </c>
      <c r="G539" t="s">
        <v>22</v>
      </c>
      <c r="H539" t="s">
        <v>63</v>
      </c>
      <c r="I539" t="s">
        <v>45</v>
      </c>
      <c r="J539" t="s">
        <v>46</v>
      </c>
      <c r="K539">
        <v>3</v>
      </c>
      <c r="L539" s="3">
        <v>18500</v>
      </c>
      <c r="M539" s="3">
        <v>13775</v>
      </c>
      <c r="N539">
        <v>0</v>
      </c>
      <c r="O539" t="s">
        <v>26</v>
      </c>
      <c r="P539" t="s">
        <v>48</v>
      </c>
      <c r="Q539" s="3">
        <f>Table13[[#This Row],[Quantity]]*Table13[[#This Row],[UnitPrice_NGN]]</f>
        <v>55500</v>
      </c>
      <c r="R539" s="9">
        <f>Table13[[#This Row],[GrossRevenue]]*(1-Table13[[#This Row],[DiscountRate]])</f>
        <v>55500</v>
      </c>
      <c r="S539" s="3">
        <f>Table13[[#This Row],[Quantity]]*Table13[[#This Row],[UnitCost_NGN]]</f>
        <v>41325</v>
      </c>
      <c r="T539" s="3">
        <f>Table13[[#This Row],[NetRevenue]]-Table13[[#This Row],[TotalCost]]</f>
        <v>14175</v>
      </c>
      <c r="U539" s="3"/>
    </row>
    <row r="540" spans="1:21" x14ac:dyDescent="0.25">
      <c r="A540" t="s">
        <v>924</v>
      </c>
      <c r="B540" s="20">
        <v>45768</v>
      </c>
      <c r="C540" t="s">
        <v>40</v>
      </c>
      <c r="D540" t="s">
        <v>110</v>
      </c>
      <c r="E540" t="s">
        <v>111</v>
      </c>
      <c r="F540" t="s">
        <v>85</v>
      </c>
      <c r="G540" t="s">
        <v>44</v>
      </c>
      <c r="H540" t="s">
        <v>96</v>
      </c>
      <c r="I540" t="s">
        <v>51</v>
      </c>
      <c r="J540" t="s">
        <v>36</v>
      </c>
      <c r="K540">
        <v>8</v>
      </c>
      <c r="L540" s="3">
        <v>280000</v>
      </c>
      <c r="M540" s="3">
        <v>220500</v>
      </c>
      <c r="N540">
        <v>0</v>
      </c>
      <c r="O540" t="s">
        <v>47</v>
      </c>
      <c r="P540" t="s">
        <v>133</v>
      </c>
      <c r="Q540" s="3">
        <f>Table13[[#This Row],[Quantity]]*Table13[[#This Row],[UnitPrice_NGN]]</f>
        <v>2240000</v>
      </c>
      <c r="R540" s="9">
        <f>Table13[[#This Row],[GrossRevenue]]*(1-Table13[[#This Row],[DiscountRate]])</f>
        <v>2240000</v>
      </c>
      <c r="S540" s="3">
        <f>Table13[[#This Row],[Quantity]]*Table13[[#This Row],[UnitCost_NGN]]</f>
        <v>1764000</v>
      </c>
      <c r="T540" s="3">
        <f>Table13[[#This Row],[NetRevenue]]-Table13[[#This Row],[TotalCost]]</f>
        <v>476000</v>
      </c>
      <c r="U540" s="3"/>
    </row>
    <row r="541" spans="1:21" x14ac:dyDescent="0.25">
      <c r="A541" t="s">
        <v>925</v>
      </c>
      <c r="B541" s="20">
        <v>45914</v>
      </c>
      <c r="C541" t="s">
        <v>18</v>
      </c>
      <c r="D541" t="s">
        <v>60</v>
      </c>
      <c r="E541" t="s">
        <v>61</v>
      </c>
      <c r="F541" t="s">
        <v>43</v>
      </c>
      <c r="G541" t="s">
        <v>62</v>
      </c>
      <c r="H541" t="s">
        <v>112</v>
      </c>
      <c r="I541" t="s">
        <v>35</v>
      </c>
      <c r="J541" t="s">
        <v>36</v>
      </c>
      <c r="K541">
        <v>10</v>
      </c>
      <c r="L541" s="3">
        <v>450000</v>
      </c>
      <c r="M541" s="3">
        <v>332500</v>
      </c>
      <c r="N541">
        <v>0.05</v>
      </c>
      <c r="O541" t="s">
        <v>57</v>
      </c>
      <c r="P541" t="s">
        <v>48</v>
      </c>
      <c r="Q541" s="3">
        <f>Table13[[#This Row],[Quantity]]*Table13[[#This Row],[UnitPrice_NGN]]</f>
        <v>4500000</v>
      </c>
      <c r="R541" s="9">
        <f>Table13[[#This Row],[GrossRevenue]]*(1-Table13[[#This Row],[DiscountRate]])</f>
        <v>4275000</v>
      </c>
      <c r="S541" s="3">
        <f>Table13[[#This Row],[Quantity]]*Table13[[#This Row],[UnitCost_NGN]]</f>
        <v>3325000</v>
      </c>
      <c r="T541" s="3">
        <f>Table13[[#This Row],[NetRevenue]]-Table13[[#This Row],[TotalCost]]</f>
        <v>950000</v>
      </c>
      <c r="U541" s="3"/>
    </row>
    <row r="542" spans="1:21" x14ac:dyDescent="0.25">
      <c r="A542" t="s">
        <v>926</v>
      </c>
      <c r="B542" s="20">
        <v>45676</v>
      </c>
      <c r="C542" t="s">
        <v>40</v>
      </c>
      <c r="D542" t="s">
        <v>157</v>
      </c>
      <c r="E542" t="s">
        <v>158</v>
      </c>
      <c r="F542" t="s">
        <v>21</v>
      </c>
      <c r="G542" t="s">
        <v>22</v>
      </c>
      <c r="H542" t="s">
        <v>96</v>
      </c>
      <c r="I542" t="s">
        <v>105</v>
      </c>
      <c r="J542" t="s">
        <v>71</v>
      </c>
      <c r="K542">
        <v>6</v>
      </c>
      <c r="L542" s="3">
        <v>157500</v>
      </c>
      <c r="M542" s="3">
        <v>120000</v>
      </c>
      <c r="N542">
        <v>0</v>
      </c>
      <c r="O542" t="s">
        <v>57</v>
      </c>
      <c r="P542" t="s">
        <v>72</v>
      </c>
      <c r="Q542" s="3">
        <f>Table13[[#This Row],[Quantity]]*Table13[[#This Row],[UnitPrice_NGN]]</f>
        <v>945000</v>
      </c>
      <c r="R542" s="9">
        <f>Table13[[#This Row],[GrossRevenue]]*(1-Table13[[#This Row],[DiscountRate]])</f>
        <v>945000</v>
      </c>
      <c r="S542" s="3">
        <f>Table13[[#This Row],[Quantity]]*Table13[[#This Row],[UnitCost_NGN]]</f>
        <v>720000</v>
      </c>
      <c r="T542" s="3">
        <f>Table13[[#This Row],[NetRevenue]]-Table13[[#This Row],[TotalCost]]</f>
        <v>225000</v>
      </c>
      <c r="U542" s="3"/>
    </row>
    <row r="543" spans="1:21" x14ac:dyDescent="0.25">
      <c r="A543" t="s">
        <v>927</v>
      </c>
      <c r="B543" s="20">
        <v>45897</v>
      </c>
      <c r="C543" t="s">
        <v>18</v>
      </c>
      <c r="D543" t="s">
        <v>120</v>
      </c>
      <c r="E543" t="s">
        <v>121</v>
      </c>
      <c r="F543" t="s">
        <v>122</v>
      </c>
      <c r="G543" t="s">
        <v>62</v>
      </c>
      <c r="H543" t="s">
        <v>96</v>
      </c>
      <c r="I543" t="s">
        <v>35</v>
      </c>
      <c r="J543" t="s">
        <v>36</v>
      </c>
      <c r="K543">
        <v>8</v>
      </c>
      <c r="L543" s="3">
        <v>495000</v>
      </c>
      <c r="M543" s="3">
        <v>332500</v>
      </c>
      <c r="N543">
        <v>0</v>
      </c>
      <c r="O543" t="s">
        <v>57</v>
      </c>
      <c r="P543" t="s">
        <v>48</v>
      </c>
      <c r="Q543" s="3">
        <f>Table13[[#This Row],[Quantity]]*Table13[[#This Row],[UnitPrice_NGN]]</f>
        <v>3960000</v>
      </c>
      <c r="R543" s="9">
        <f>Table13[[#This Row],[GrossRevenue]]*(1-Table13[[#This Row],[DiscountRate]])</f>
        <v>3960000</v>
      </c>
      <c r="S543" s="3">
        <f>Table13[[#This Row],[Quantity]]*Table13[[#This Row],[UnitCost_NGN]]</f>
        <v>2660000</v>
      </c>
      <c r="T543" s="3">
        <f>Table13[[#This Row],[NetRevenue]]-Table13[[#This Row],[TotalCost]]</f>
        <v>1300000</v>
      </c>
      <c r="U543" s="3"/>
    </row>
    <row r="544" spans="1:21" x14ac:dyDescent="0.25">
      <c r="A544" t="s">
        <v>929</v>
      </c>
      <c r="B544" s="20">
        <v>45930</v>
      </c>
      <c r="C544" t="s">
        <v>40</v>
      </c>
      <c r="D544" t="s">
        <v>60</v>
      </c>
      <c r="E544" t="s">
        <v>61</v>
      </c>
      <c r="F544" t="s">
        <v>43</v>
      </c>
      <c r="G544" t="s">
        <v>22</v>
      </c>
      <c r="H544" t="s">
        <v>63</v>
      </c>
      <c r="I544" t="s">
        <v>24</v>
      </c>
      <c r="J544" t="s">
        <v>25</v>
      </c>
      <c r="K544">
        <v>2</v>
      </c>
      <c r="L544" s="3">
        <v>20900</v>
      </c>
      <c r="M544" s="3">
        <v>13000</v>
      </c>
      <c r="N544">
        <v>0</v>
      </c>
      <c r="O544" t="s">
        <v>90</v>
      </c>
      <c r="P544" t="s">
        <v>48</v>
      </c>
      <c r="Q544" s="3">
        <f>Table13[[#This Row],[Quantity]]*Table13[[#This Row],[UnitPrice_NGN]]</f>
        <v>41800</v>
      </c>
      <c r="R544" s="9">
        <f>Table13[[#This Row],[GrossRevenue]]*(1-Table13[[#This Row],[DiscountRate]])</f>
        <v>41800</v>
      </c>
      <c r="S544" s="3">
        <f>Table13[[#This Row],[Quantity]]*Table13[[#This Row],[UnitCost_NGN]]</f>
        <v>26000</v>
      </c>
      <c r="T544" s="3">
        <f>Table13[[#This Row],[NetRevenue]]-Table13[[#This Row],[TotalCost]]</f>
        <v>15800</v>
      </c>
      <c r="U544" s="3"/>
    </row>
    <row r="545" spans="1:21" x14ac:dyDescent="0.25">
      <c r="A545" t="s">
        <v>930</v>
      </c>
      <c r="B545" s="20">
        <v>45935</v>
      </c>
      <c r="C545" t="s">
        <v>30</v>
      </c>
      <c r="D545" t="s">
        <v>41</v>
      </c>
      <c r="E545" t="s">
        <v>42</v>
      </c>
      <c r="F545" t="s">
        <v>43</v>
      </c>
      <c r="G545" t="s">
        <v>62</v>
      </c>
      <c r="H545" t="s">
        <v>63</v>
      </c>
      <c r="I545" t="s">
        <v>75</v>
      </c>
      <c r="J545" t="s">
        <v>36</v>
      </c>
      <c r="K545">
        <v>1</v>
      </c>
      <c r="L545" s="3">
        <v>180000</v>
      </c>
      <c r="M545" s="3">
        <v>123500</v>
      </c>
      <c r="N545">
        <v>0</v>
      </c>
      <c r="O545" t="s">
        <v>90</v>
      </c>
      <c r="P545" t="s">
        <v>48</v>
      </c>
      <c r="Q545" s="3">
        <f>Table13[[#This Row],[Quantity]]*Table13[[#This Row],[UnitPrice_NGN]]</f>
        <v>180000</v>
      </c>
      <c r="R545" s="9">
        <f>Table13[[#This Row],[GrossRevenue]]*(1-Table13[[#This Row],[DiscountRate]])</f>
        <v>180000</v>
      </c>
      <c r="S545" s="3">
        <f>Table13[[#This Row],[Quantity]]*Table13[[#This Row],[UnitCost_NGN]]</f>
        <v>123500</v>
      </c>
      <c r="T545" s="3">
        <f>Table13[[#This Row],[NetRevenue]]-Table13[[#This Row],[TotalCost]]</f>
        <v>56500</v>
      </c>
      <c r="U545" s="3"/>
    </row>
    <row r="546" spans="1:21" x14ac:dyDescent="0.25">
      <c r="A546" t="s">
        <v>931</v>
      </c>
      <c r="B546" s="20">
        <v>45971</v>
      </c>
      <c r="C546" t="s">
        <v>30</v>
      </c>
      <c r="D546" t="s">
        <v>41</v>
      </c>
      <c r="E546" t="s">
        <v>42</v>
      </c>
      <c r="F546" t="s">
        <v>43</v>
      </c>
      <c r="G546" t="s">
        <v>33</v>
      </c>
      <c r="H546" t="s">
        <v>96</v>
      </c>
      <c r="I546" t="s">
        <v>102</v>
      </c>
      <c r="J546" t="s">
        <v>25</v>
      </c>
      <c r="K546">
        <v>4</v>
      </c>
      <c r="L546" s="3">
        <v>39900</v>
      </c>
      <c r="M546" s="3">
        <v>24700</v>
      </c>
      <c r="N546">
        <v>0</v>
      </c>
      <c r="O546" t="s">
        <v>90</v>
      </c>
      <c r="P546" t="s">
        <v>48</v>
      </c>
      <c r="Q546" s="3">
        <f>Table13[[#This Row],[Quantity]]*Table13[[#This Row],[UnitPrice_NGN]]</f>
        <v>159600</v>
      </c>
      <c r="R546" s="9">
        <f>Table13[[#This Row],[GrossRevenue]]*(1-Table13[[#This Row],[DiscountRate]])</f>
        <v>159600</v>
      </c>
      <c r="S546" s="3">
        <f>Table13[[#This Row],[Quantity]]*Table13[[#This Row],[UnitCost_NGN]]</f>
        <v>98800</v>
      </c>
      <c r="T546" s="3">
        <f>Table13[[#This Row],[NetRevenue]]-Table13[[#This Row],[TotalCost]]</f>
        <v>60800</v>
      </c>
      <c r="U546" s="3"/>
    </row>
    <row r="547" spans="1:21" x14ac:dyDescent="0.25">
      <c r="A547" t="s">
        <v>932</v>
      </c>
      <c r="B547" s="20">
        <v>45685</v>
      </c>
      <c r="C547" t="s">
        <v>40</v>
      </c>
      <c r="D547" t="s">
        <v>110</v>
      </c>
      <c r="E547" t="s">
        <v>111</v>
      </c>
      <c r="F547" t="s">
        <v>85</v>
      </c>
      <c r="G547" t="s">
        <v>33</v>
      </c>
      <c r="H547" t="s">
        <v>34</v>
      </c>
      <c r="I547" t="s">
        <v>35</v>
      </c>
      <c r="J547" t="s">
        <v>36</v>
      </c>
      <c r="K547">
        <v>10</v>
      </c>
      <c r="L547" s="3">
        <v>405000</v>
      </c>
      <c r="M547" s="3">
        <v>332500</v>
      </c>
      <c r="N547">
        <v>0.05</v>
      </c>
      <c r="O547" t="s">
        <v>37</v>
      </c>
      <c r="P547" t="s">
        <v>48</v>
      </c>
      <c r="Q547" s="3">
        <f>Table13[[#This Row],[Quantity]]*Table13[[#This Row],[UnitPrice_NGN]]</f>
        <v>4050000</v>
      </c>
      <c r="R547" s="9">
        <f>Table13[[#This Row],[GrossRevenue]]*(1-Table13[[#This Row],[DiscountRate]])</f>
        <v>3847500</v>
      </c>
      <c r="S547" s="3">
        <f>Table13[[#This Row],[Quantity]]*Table13[[#This Row],[UnitCost_NGN]]</f>
        <v>3325000</v>
      </c>
      <c r="T547" s="3">
        <f>Table13[[#This Row],[NetRevenue]]-Table13[[#This Row],[TotalCost]]</f>
        <v>522500</v>
      </c>
      <c r="U547" s="3"/>
    </row>
    <row r="548" spans="1:21" x14ac:dyDescent="0.25">
      <c r="A548" t="s">
        <v>933</v>
      </c>
      <c r="B548" s="20">
        <v>46001</v>
      </c>
      <c r="C548" t="s">
        <v>18</v>
      </c>
      <c r="D548" t="s">
        <v>88</v>
      </c>
      <c r="E548" t="s">
        <v>89</v>
      </c>
      <c r="F548" t="s">
        <v>43</v>
      </c>
      <c r="G548" t="s">
        <v>33</v>
      </c>
      <c r="H548" t="s">
        <v>23</v>
      </c>
      <c r="I548" t="s">
        <v>45</v>
      </c>
      <c r="J548" t="s">
        <v>46</v>
      </c>
      <c r="K548">
        <v>2</v>
      </c>
      <c r="L548" s="3">
        <v>20350</v>
      </c>
      <c r="M548" s="3">
        <v>14500</v>
      </c>
      <c r="N548">
        <v>0.15</v>
      </c>
      <c r="O548" t="s">
        <v>90</v>
      </c>
      <c r="P548" t="s">
        <v>133</v>
      </c>
      <c r="Q548" s="3">
        <f>Table13[[#This Row],[Quantity]]*Table13[[#This Row],[UnitPrice_NGN]]</f>
        <v>40700</v>
      </c>
      <c r="R548" s="9">
        <f>Table13[[#This Row],[GrossRevenue]]*(1-Table13[[#This Row],[DiscountRate]])</f>
        <v>34595</v>
      </c>
      <c r="S548" s="3">
        <f>Table13[[#This Row],[Quantity]]*Table13[[#This Row],[UnitCost_NGN]]</f>
        <v>29000</v>
      </c>
      <c r="T548" s="3">
        <f>Table13[[#This Row],[NetRevenue]]-Table13[[#This Row],[TotalCost]]</f>
        <v>5595</v>
      </c>
      <c r="U548" s="3"/>
    </row>
    <row r="549" spans="1:21" x14ac:dyDescent="0.25">
      <c r="A549" t="s">
        <v>934</v>
      </c>
      <c r="B549" s="20">
        <v>45987</v>
      </c>
      <c r="C549" t="s">
        <v>40</v>
      </c>
      <c r="D549" t="s">
        <v>136</v>
      </c>
      <c r="E549" t="s">
        <v>137</v>
      </c>
      <c r="F549" t="s">
        <v>122</v>
      </c>
      <c r="G549" t="s">
        <v>33</v>
      </c>
      <c r="H549" t="s">
        <v>34</v>
      </c>
      <c r="I549" t="s">
        <v>51</v>
      </c>
      <c r="J549" t="s">
        <v>36</v>
      </c>
      <c r="K549">
        <v>3</v>
      </c>
      <c r="L549" s="3">
        <v>280000</v>
      </c>
      <c r="M549" s="3">
        <v>210000</v>
      </c>
      <c r="N549">
        <v>0.15</v>
      </c>
      <c r="O549" t="s">
        <v>64</v>
      </c>
      <c r="P549" t="s">
        <v>27</v>
      </c>
      <c r="Q549" s="3">
        <f>Table13[[#This Row],[Quantity]]*Table13[[#This Row],[UnitPrice_NGN]]</f>
        <v>840000</v>
      </c>
      <c r="R549" s="9">
        <f>Table13[[#This Row],[GrossRevenue]]*(1-Table13[[#This Row],[DiscountRate]])</f>
        <v>714000</v>
      </c>
      <c r="S549" s="3">
        <f>Table13[[#This Row],[Quantity]]*Table13[[#This Row],[UnitCost_NGN]]</f>
        <v>630000</v>
      </c>
      <c r="T549" s="3">
        <f>Table13[[#This Row],[NetRevenue]]-Table13[[#This Row],[TotalCost]]</f>
        <v>84000</v>
      </c>
      <c r="U549" s="3"/>
    </row>
    <row r="550" spans="1:21" x14ac:dyDescent="0.25">
      <c r="A550" t="s">
        <v>936</v>
      </c>
      <c r="B550" s="20">
        <v>46016</v>
      </c>
      <c r="C550" t="s">
        <v>40</v>
      </c>
      <c r="D550" t="s">
        <v>131</v>
      </c>
      <c r="E550" t="s">
        <v>132</v>
      </c>
      <c r="F550" t="s">
        <v>80</v>
      </c>
      <c r="G550" t="s">
        <v>62</v>
      </c>
      <c r="H550" t="s">
        <v>112</v>
      </c>
      <c r="I550" t="s">
        <v>75</v>
      </c>
      <c r="J550" t="s">
        <v>36</v>
      </c>
      <c r="K550">
        <v>2</v>
      </c>
      <c r="L550" s="3">
        <v>180000</v>
      </c>
      <c r="M550" s="3">
        <v>136500</v>
      </c>
      <c r="N550">
        <v>0</v>
      </c>
      <c r="O550" t="s">
        <v>37</v>
      </c>
      <c r="P550" t="s">
        <v>27</v>
      </c>
      <c r="Q550" s="3">
        <f>Table13[[#This Row],[Quantity]]*Table13[[#This Row],[UnitPrice_NGN]]</f>
        <v>360000</v>
      </c>
      <c r="R550" s="9">
        <f>Table13[[#This Row],[GrossRevenue]]*(1-Table13[[#This Row],[DiscountRate]])</f>
        <v>360000</v>
      </c>
      <c r="S550" s="3">
        <f>Table13[[#This Row],[Quantity]]*Table13[[#This Row],[UnitCost_NGN]]</f>
        <v>273000</v>
      </c>
      <c r="T550" s="3">
        <f>Table13[[#This Row],[NetRevenue]]-Table13[[#This Row],[TotalCost]]</f>
        <v>87000</v>
      </c>
      <c r="U550" s="3"/>
    </row>
    <row r="551" spans="1:21" x14ac:dyDescent="0.25">
      <c r="A551" t="s">
        <v>937</v>
      </c>
      <c r="B551" s="20">
        <v>45745</v>
      </c>
      <c r="C551" t="s">
        <v>40</v>
      </c>
      <c r="D551" t="s">
        <v>19</v>
      </c>
      <c r="E551" t="s">
        <v>20</v>
      </c>
      <c r="F551" t="s">
        <v>21</v>
      </c>
      <c r="G551" t="s">
        <v>44</v>
      </c>
      <c r="H551" t="s">
        <v>23</v>
      </c>
      <c r="I551" t="s">
        <v>35</v>
      </c>
      <c r="J551" t="s">
        <v>36</v>
      </c>
      <c r="K551">
        <v>3</v>
      </c>
      <c r="L551" s="3">
        <v>450000</v>
      </c>
      <c r="M551" s="3">
        <v>367500</v>
      </c>
      <c r="N551">
        <v>0.05</v>
      </c>
      <c r="O551" t="s">
        <v>52</v>
      </c>
      <c r="P551" t="s">
        <v>48</v>
      </c>
      <c r="Q551" s="3">
        <f>Table13[[#This Row],[Quantity]]*Table13[[#This Row],[UnitPrice_NGN]]</f>
        <v>1350000</v>
      </c>
      <c r="R551" s="9">
        <f>Table13[[#This Row],[GrossRevenue]]*(1-Table13[[#This Row],[DiscountRate]])</f>
        <v>1282500</v>
      </c>
      <c r="S551" s="3">
        <f>Table13[[#This Row],[Quantity]]*Table13[[#This Row],[UnitCost_NGN]]</f>
        <v>1102500</v>
      </c>
      <c r="T551" s="3">
        <f>Table13[[#This Row],[NetRevenue]]-Table13[[#This Row],[TotalCost]]</f>
        <v>180000</v>
      </c>
      <c r="U551" s="3"/>
    </row>
    <row r="552" spans="1:21" x14ac:dyDescent="0.25">
      <c r="A552" t="s">
        <v>939</v>
      </c>
      <c r="B552" s="20">
        <v>45930</v>
      </c>
      <c r="C552" t="s">
        <v>40</v>
      </c>
      <c r="D552" t="s">
        <v>136</v>
      </c>
      <c r="E552" t="s">
        <v>137</v>
      </c>
      <c r="F552" t="s">
        <v>122</v>
      </c>
      <c r="G552" t="s">
        <v>33</v>
      </c>
      <c r="H552" t="s">
        <v>34</v>
      </c>
      <c r="I552" t="s">
        <v>55</v>
      </c>
      <c r="J552" t="s">
        <v>56</v>
      </c>
      <c r="K552">
        <v>6</v>
      </c>
      <c r="L552" s="3">
        <v>48000</v>
      </c>
      <c r="M552" s="3">
        <v>28500</v>
      </c>
      <c r="N552">
        <v>0</v>
      </c>
      <c r="O552" t="s">
        <v>64</v>
      </c>
      <c r="P552" t="s">
        <v>72</v>
      </c>
      <c r="Q552" s="3">
        <f>Table13[[#This Row],[Quantity]]*Table13[[#This Row],[UnitPrice_NGN]]</f>
        <v>288000</v>
      </c>
      <c r="R552" s="9">
        <f>Table13[[#This Row],[GrossRevenue]]*(1-Table13[[#This Row],[DiscountRate]])</f>
        <v>288000</v>
      </c>
      <c r="S552" s="3">
        <f>Table13[[#This Row],[Quantity]]*Table13[[#This Row],[UnitCost_NGN]]</f>
        <v>171000</v>
      </c>
      <c r="T552" s="3">
        <f>Table13[[#This Row],[NetRevenue]]-Table13[[#This Row],[TotalCost]]</f>
        <v>117000</v>
      </c>
      <c r="U552" s="3"/>
    </row>
    <row r="553" spans="1:21" x14ac:dyDescent="0.25">
      <c r="A553" t="s">
        <v>940</v>
      </c>
      <c r="B553" s="20">
        <v>45764</v>
      </c>
      <c r="C553" t="s">
        <v>30</v>
      </c>
      <c r="D553" t="s">
        <v>157</v>
      </c>
      <c r="E553" t="s">
        <v>158</v>
      </c>
      <c r="F553" t="s">
        <v>21</v>
      </c>
      <c r="G553" t="s">
        <v>33</v>
      </c>
      <c r="H553" t="s">
        <v>112</v>
      </c>
      <c r="I553" t="s">
        <v>93</v>
      </c>
      <c r="J553" t="s">
        <v>46</v>
      </c>
      <c r="K553">
        <v>15</v>
      </c>
      <c r="L553" s="3">
        <v>95000</v>
      </c>
      <c r="M553" s="3">
        <v>77900</v>
      </c>
      <c r="N553">
        <v>0</v>
      </c>
      <c r="O553" t="s">
        <v>47</v>
      </c>
      <c r="P553" t="s">
        <v>27</v>
      </c>
      <c r="Q553" s="3">
        <f>Table13[[#This Row],[Quantity]]*Table13[[#This Row],[UnitPrice_NGN]]</f>
        <v>1425000</v>
      </c>
      <c r="R553" s="9">
        <f>Table13[[#This Row],[GrossRevenue]]*(1-Table13[[#This Row],[DiscountRate]])</f>
        <v>1425000</v>
      </c>
      <c r="S553" s="3">
        <f>Table13[[#This Row],[Quantity]]*Table13[[#This Row],[UnitCost_NGN]]</f>
        <v>1168500</v>
      </c>
      <c r="T553" s="3">
        <f>Table13[[#This Row],[NetRevenue]]-Table13[[#This Row],[TotalCost]]</f>
        <v>256500</v>
      </c>
      <c r="U553" s="3"/>
    </row>
    <row r="554" spans="1:21" x14ac:dyDescent="0.25">
      <c r="A554" t="s">
        <v>941</v>
      </c>
      <c r="B554" s="20">
        <v>46022</v>
      </c>
      <c r="C554" t="s">
        <v>40</v>
      </c>
      <c r="D554" t="s">
        <v>136</v>
      </c>
      <c r="E554" t="s">
        <v>137</v>
      </c>
      <c r="F554" t="s">
        <v>122</v>
      </c>
      <c r="G554" t="s">
        <v>22</v>
      </c>
      <c r="H554" t="s">
        <v>23</v>
      </c>
      <c r="I554" t="s">
        <v>93</v>
      </c>
      <c r="J554" t="s">
        <v>46</v>
      </c>
      <c r="K554">
        <v>2</v>
      </c>
      <c r="L554" s="3">
        <v>99750</v>
      </c>
      <c r="M554" s="3">
        <v>77900</v>
      </c>
      <c r="N554">
        <v>0.15</v>
      </c>
      <c r="O554" t="s">
        <v>37</v>
      </c>
      <c r="P554" t="s">
        <v>133</v>
      </c>
      <c r="Q554" s="3">
        <f>Table13[[#This Row],[Quantity]]*Table13[[#This Row],[UnitPrice_NGN]]</f>
        <v>199500</v>
      </c>
      <c r="R554" s="9">
        <f>Table13[[#This Row],[GrossRevenue]]*(1-Table13[[#This Row],[DiscountRate]])</f>
        <v>169575</v>
      </c>
      <c r="S554" s="3">
        <f>Table13[[#This Row],[Quantity]]*Table13[[#This Row],[UnitCost_NGN]]</f>
        <v>155800</v>
      </c>
      <c r="T554" s="3">
        <f>Table13[[#This Row],[NetRevenue]]-Table13[[#This Row],[TotalCost]]</f>
        <v>13775</v>
      </c>
      <c r="U554" s="3"/>
    </row>
    <row r="555" spans="1:21" x14ac:dyDescent="0.25">
      <c r="A555" t="s">
        <v>942</v>
      </c>
      <c r="B555" s="20">
        <v>45865</v>
      </c>
      <c r="C555" t="s">
        <v>30</v>
      </c>
      <c r="D555" t="s">
        <v>78</v>
      </c>
      <c r="E555" t="s">
        <v>79</v>
      </c>
      <c r="F555" t="s">
        <v>80</v>
      </c>
      <c r="G555" t="s">
        <v>22</v>
      </c>
      <c r="H555" t="s">
        <v>23</v>
      </c>
      <c r="I555" t="s">
        <v>105</v>
      </c>
      <c r="J555" t="s">
        <v>71</v>
      </c>
      <c r="K555">
        <v>1</v>
      </c>
      <c r="L555" s="3">
        <v>175000</v>
      </c>
      <c r="M555" s="3">
        <v>120000</v>
      </c>
      <c r="N555">
        <v>0</v>
      </c>
      <c r="O555" t="s">
        <v>26</v>
      </c>
      <c r="P555" t="s">
        <v>48</v>
      </c>
      <c r="Q555" s="3">
        <f>Table13[[#This Row],[Quantity]]*Table13[[#This Row],[UnitPrice_NGN]]</f>
        <v>175000</v>
      </c>
      <c r="R555" s="9">
        <f>Table13[[#This Row],[GrossRevenue]]*(1-Table13[[#This Row],[DiscountRate]])</f>
        <v>175000</v>
      </c>
      <c r="S555" s="3">
        <f>Table13[[#This Row],[Quantity]]*Table13[[#This Row],[UnitCost_NGN]]</f>
        <v>120000</v>
      </c>
      <c r="T555" s="3">
        <f>Table13[[#This Row],[NetRevenue]]-Table13[[#This Row],[TotalCost]]</f>
        <v>55000</v>
      </c>
      <c r="U555" s="3"/>
    </row>
    <row r="556" spans="1:21" x14ac:dyDescent="0.25">
      <c r="A556" t="s">
        <v>943</v>
      </c>
      <c r="B556" s="20">
        <v>45729</v>
      </c>
      <c r="C556" t="s">
        <v>30</v>
      </c>
      <c r="D556" t="s">
        <v>110</v>
      </c>
      <c r="E556" t="s">
        <v>111</v>
      </c>
      <c r="F556" t="s">
        <v>85</v>
      </c>
      <c r="G556" t="s">
        <v>22</v>
      </c>
      <c r="H556" t="s">
        <v>34</v>
      </c>
      <c r="I556" t="s">
        <v>105</v>
      </c>
      <c r="J556" t="s">
        <v>71</v>
      </c>
      <c r="K556">
        <v>5</v>
      </c>
      <c r="L556" s="3">
        <v>157500</v>
      </c>
      <c r="M556" s="3">
        <v>114000</v>
      </c>
      <c r="N556">
        <v>0</v>
      </c>
      <c r="O556" t="s">
        <v>90</v>
      </c>
      <c r="P556" t="s">
        <v>133</v>
      </c>
      <c r="Q556" s="3">
        <f>Table13[[#This Row],[Quantity]]*Table13[[#This Row],[UnitPrice_NGN]]</f>
        <v>787500</v>
      </c>
      <c r="R556" s="9">
        <f>Table13[[#This Row],[GrossRevenue]]*(1-Table13[[#This Row],[DiscountRate]])</f>
        <v>787500</v>
      </c>
      <c r="S556" s="3">
        <f>Table13[[#This Row],[Quantity]]*Table13[[#This Row],[UnitCost_NGN]]</f>
        <v>570000</v>
      </c>
      <c r="T556" s="3">
        <f>Table13[[#This Row],[NetRevenue]]-Table13[[#This Row],[TotalCost]]</f>
        <v>217500</v>
      </c>
      <c r="U556" s="3"/>
    </row>
    <row r="557" spans="1:21" x14ac:dyDescent="0.25">
      <c r="A557" t="s">
        <v>944</v>
      </c>
      <c r="B557" s="20">
        <v>45763</v>
      </c>
      <c r="C557" t="s">
        <v>40</v>
      </c>
      <c r="D557" t="s">
        <v>78</v>
      </c>
      <c r="E557" t="s">
        <v>79</v>
      </c>
      <c r="F557" t="s">
        <v>80</v>
      </c>
      <c r="G557" t="s">
        <v>62</v>
      </c>
      <c r="H557" t="s">
        <v>23</v>
      </c>
      <c r="I557" t="s">
        <v>97</v>
      </c>
      <c r="J557" t="s">
        <v>56</v>
      </c>
      <c r="K557">
        <v>2</v>
      </c>
      <c r="L557" s="3">
        <v>125000</v>
      </c>
      <c r="M557" s="3">
        <v>89250</v>
      </c>
      <c r="N557">
        <v>0</v>
      </c>
      <c r="O557" t="s">
        <v>57</v>
      </c>
      <c r="P557" t="s">
        <v>27</v>
      </c>
      <c r="Q557" s="3">
        <f>Table13[[#This Row],[Quantity]]*Table13[[#This Row],[UnitPrice_NGN]]</f>
        <v>250000</v>
      </c>
      <c r="R557" s="9">
        <f>Table13[[#This Row],[GrossRevenue]]*(1-Table13[[#This Row],[DiscountRate]])</f>
        <v>250000</v>
      </c>
      <c r="S557" s="3">
        <f>Table13[[#This Row],[Quantity]]*Table13[[#This Row],[UnitCost_NGN]]</f>
        <v>178500</v>
      </c>
      <c r="T557" s="3">
        <f>Table13[[#This Row],[NetRevenue]]-Table13[[#This Row],[TotalCost]]</f>
        <v>71500</v>
      </c>
      <c r="U557" s="3"/>
    </row>
    <row r="558" spans="1:21" x14ac:dyDescent="0.25">
      <c r="A558" t="s">
        <v>945</v>
      </c>
      <c r="B558" s="20">
        <v>45662</v>
      </c>
      <c r="C558" t="s">
        <v>30</v>
      </c>
      <c r="D558" t="s">
        <v>136</v>
      </c>
      <c r="E558" t="s">
        <v>137</v>
      </c>
      <c r="F558" t="s">
        <v>122</v>
      </c>
      <c r="G558" t="s">
        <v>33</v>
      </c>
      <c r="H558" t="s">
        <v>34</v>
      </c>
      <c r="I558" t="s">
        <v>55</v>
      </c>
      <c r="J558" t="s">
        <v>56</v>
      </c>
      <c r="K558">
        <v>15</v>
      </c>
      <c r="L558" s="3">
        <v>48000</v>
      </c>
      <c r="M558" s="3">
        <v>28500</v>
      </c>
      <c r="N558">
        <v>0.1</v>
      </c>
      <c r="O558" t="s">
        <v>57</v>
      </c>
      <c r="P558" t="s">
        <v>133</v>
      </c>
      <c r="Q558" s="3">
        <f>Table13[[#This Row],[Quantity]]*Table13[[#This Row],[UnitPrice_NGN]]</f>
        <v>720000</v>
      </c>
      <c r="R558" s="9">
        <f>Table13[[#This Row],[GrossRevenue]]*(1-Table13[[#This Row],[DiscountRate]])</f>
        <v>648000</v>
      </c>
      <c r="S558" s="3">
        <f>Table13[[#This Row],[Quantity]]*Table13[[#This Row],[UnitCost_NGN]]</f>
        <v>427500</v>
      </c>
      <c r="T558" s="3">
        <f>Table13[[#This Row],[NetRevenue]]-Table13[[#This Row],[TotalCost]]</f>
        <v>220500</v>
      </c>
      <c r="U558" s="3"/>
    </row>
    <row r="559" spans="1:21" x14ac:dyDescent="0.25">
      <c r="A559" t="s">
        <v>946</v>
      </c>
      <c r="B559" s="20">
        <v>45944</v>
      </c>
      <c r="C559" t="s">
        <v>18</v>
      </c>
      <c r="D559" t="s">
        <v>88</v>
      </c>
      <c r="E559" t="s">
        <v>89</v>
      </c>
      <c r="F559" t="s">
        <v>43</v>
      </c>
      <c r="G559" t="s">
        <v>62</v>
      </c>
      <c r="H559" t="s">
        <v>96</v>
      </c>
      <c r="I559" t="s">
        <v>35</v>
      </c>
      <c r="J559" t="s">
        <v>36</v>
      </c>
      <c r="K559">
        <v>10</v>
      </c>
      <c r="L559" s="3">
        <v>405000</v>
      </c>
      <c r="M559" s="3">
        <v>332500</v>
      </c>
      <c r="N559">
        <v>0.15</v>
      </c>
      <c r="O559" t="s">
        <v>64</v>
      </c>
      <c r="P559" t="s">
        <v>48</v>
      </c>
      <c r="Q559" s="3">
        <f>Table13[[#This Row],[Quantity]]*Table13[[#This Row],[UnitPrice_NGN]]</f>
        <v>4050000</v>
      </c>
      <c r="R559" s="9">
        <f>Table13[[#This Row],[GrossRevenue]]*(1-Table13[[#This Row],[DiscountRate]])</f>
        <v>3442500</v>
      </c>
      <c r="S559" s="3">
        <f>Table13[[#This Row],[Quantity]]*Table13[[#This Row],[UnitCost_NGN]]</f>
        <v>3325000</v>
      </c>
      <c r="T559" s="3">
        <f>Table13[[#This Row],[NetRevenue]]-Table13[[#This Row],[TotalCost]]</f>
        <v>117500</v>
      </c>
      <c r="U559" s="3"/>
    </row>
    <row r="560" spans="1:21" x14ac:dyDescent="0.25">
      <c r="A560" t="s">
        <v>947</v>
      </c>
      <c r="B560" s="20">
        <v>45853</v>
      </c>
      <c r="C560" t="s">
        <v>40</v>
      </c>
      <c r="D560" t="s">
        <v>136</v>
      </c>
      <c r="E560" t="s">
        <v>137</v>
      </c>
      <c r="F560" t="s">
        <v>122</v>
      </c>
      <c r="G560" t="s">
        <v>33</v>
      </c>
      <c r="H560" t="s">
        <v>23</v>
      </c>
      <c r="I560" t="s">
        <v>55</v>
      </c>
      <c r="J560" t="s">
        <v>56</v>
      </c>
      <c r="K560">
        <v>4</v>
      </c>
      <c r="L560" s="3">
        <v>50400</v>
      </c>
      <c r="M560" s="3">
        <v>30000</v>
      </c>
      <c r="O560" t="s">
        <v>64</v>
      </c>
      <c r="P560" t="s">
        <v>72</v>
      </c>
      <c r="Q560" s="3">
        <f>Table13[[#This Row],[Quantity]]*Table13[[#This Row],[UnitPrice_NGN]]</f>
        <v>201600</v>
      </c>
      <c r="R560" s="9">
        <f>Table13[[#This Row],[GrossRevenue]]*(1-Table13[[#This Row],[DiscountRate]])</f>
        <v>201600</v>
      </c>
      <c r="S560" s="3">
        <f>Table13[[#This Row],[Quantity]]*Table13[[#This Row],[UnitCost_NGN]]</f>
        <v>120000</v>
      </c>
      <c r="T560" s="3">
        <f>Table13[[#This Row],[NetRevenue]]-Table13[[#This Row],[TotalCost]]</f>
        <v>81600</v>
      </c>
      <c r="U560" s="3"/>
    </row>
    <row r="561" spans="1:21" x14ac:dyDescent="0.25">
      <c r="A561" t="s">
        <v>948</v>
      </c>
      <c r="B561" s="20">
        <v>45871</v>
      </c>
      <c r="C561" t="s">
        <v>40</v>
      </c>
      <c r="D561" t="s">
        <v>157</v>
      </c>
      <c r="E561" t="s">
        <v>158</v>
      </c>
      <c r="F561" t="s">
        <v>21</v>
      </c>
      <c r="G561" t="s">
        <v>44</v>
      </c>
      <c r="H561" t="s">
        <v>34</v>
      </c>
      <c r="I561" t="s">
        <v>24</v>
      </c>
      <c r="J561" t="s">
        <v>25</v>
      </c>
      <c r="K561">
        <v>3</v>
      </c>
      <c r="L561" s="3">
        <v>20900</v>
      </c>
      <c r="M561" s="3">
        <v>13650</v>
      </c>
      <c r="N561">
        <v>0</v>
      </c>
      <c r="O561" t="s">
        <v>148</v>
      </c>
      <c r="P561" t="s">
        <v>48</v>
      </c>
      <c r="Q561" s="3">
        <f>Table13[[#This Row],[Quantity]]*Table13[[#This Row],[UnitPrice_NGN]]</f>
        <v>62700</v>
      </c>
      <c r="R561" s="9">
        <f>Table13[[#This Row],[GrossRevenue]]*(1-Table13[[#This Row],[DiscountRate]])</f>
        <v>62700</v>
      </c>
      <c r="S561" s="3">
        <f>Table13[[#This Row],[Quantity]]*Table13[[#This Row],[UnitCost_NGN]]</f>
        <v>40950</v>
      </c>
      <c r="T561" s="3">
        <f>Table13[[#This Row],[NetRevenue]]-Table13[[#This Row],[TotalCost]]</f>
        <v>21750</v>
      </c>
      <c r="U561" s="3"/>
    </row>
    <row r="562" spans="1:21" x14ac:dyDescent="0.25">
      <c r="A562" t="s">
        <v>949</v>
      </c>
      <c r="B562" s="20">
        <v>45881</v>
      </c>
      <c r="C562" t="s">
        <v>18</v>
      </c>
      <c r="D562" t="s">
        <v>120</v>
      </c>
      <c r="E562" t="s">
        <v>121</v>
      </c>
      <c r="F562" t="s">
        <v>122</v>
      </c>
      <c r="G562" t="s">
        <v>44</v>
      </c>
      <c r="H562" t="s">
        <v>112</v>
      </c>
      <c r="I562" t="s">
        <v>51</v>
      </c>
      <c r="J562" t="s">
        <v>36</v>
      </c>
      <c r="K562">
        <v>1</v>
      </c>
      <c r="L562" s="3">
        <v>294000</v>
      </c>
      <c r="M562" s="3">
        <v>220500</v>
      </c>
      <c r="N562">
        <v>0.15</v>
      </c>
      <c r="O562" t="s">
        <v>37</v>
      </c>
      <c r="P562" t="s">
        <v>48</v>
      </c>
      <c r="Q562" s="3">
        <f>Table13[[#This Row],[Quantity]]*Table13[[#This Row],[UnitPrice_NGN]]</f>
        <v>294000</v>
      </c>
      <c r="R562" s="9">
        <f>Table13[[#This Row],[GrossRevenue]]*(1-Table13[[#This Row],[DiscountRate]])</f>
        <v>249900</v>
      </c>
      <c r="S562" s="3">
        <f>Table13[[#This Row],[Quantity]]*Table13[[#This Row],[UnitCost_NGN]]</f>
        <v>220500</v>
      </c>
      <c r="T562" s="3">
        <f>Table13[[#This Row],[NetRevenue]]-Table13[[#This Row],[TotalCost]]</f>
        <v>29400</v>
      </c>
      <c r="U562" s="3"/>
    </row>
    <row r="563" spans="1:21" x14ac:dyDescent="0.25">
      <c r="A563" t="s">
        <v>950</v>
      </c>
      <c r="B563" s="20">
        <v>45918</v>
      </c>
      <c r="C563" t="s">
        <v>30</v>
      </c>
      <c r="D563" t="s">
        <v>131</v>
      </c>
      <c r="E563" t="s">
        <v>132</v>
      </c>
      <c r="F563" t="s">
        <v>80</v>
      </c>
      <c r="G563" t="s">
        <v>33</v>
      </c>
      <c r="H563" t="s">
        <v>112</v>
      </c>
      <c r="I563" t="s">
        <v>102</v>
      </c>
      <c r="J563" t="s">
        <v>25</v>
      </c>
      <c r="K563">
        <v>12</v>
      </c>
      <c r="L563" s="3">
        <v>42000</v>
      </c>
      <c r="M563" s="3">
        <v>26000</v>
      </c>
      <c r="N563">
        <v>0.05</v>
      </c>
      <c r="O563" t="s">
        <v>47</v>
      </c>
      <c r="P563" t="s">
        <v>72</v>
      </c>
      <c r="Q563" s="3">
        <f>Table13[[#This Row],[Quantity]]*Table13[[#This Row],[UnitPrice_NGN]]</f>
        <v>504000</v>
      </c>
      <c r="R563" s="9">
        <f>Table13[[#This Row],[GrossRevenue]]*(1-Table13[[#This Row],[DiscountRate]])</f>
        <v>478800</v>
      </c>
      <c r="S563" s="3">
        <f>Table13[[#This Row],[Quantity]]*Table13[[#This Row],[UnitCost_NGN]]</f>
        <v>312000</v>
      </c>
      <c r="T563" s="3">
        <f>Table13[[#This Row],[NetRevenue]]-Table13[[#This Row],[TotalCost]]</f>
        <v>166800</v>
      </c>
      <c r="U563" s="3"/>
    </row>
    <row r="564" spans="1:21" x14ac:dyDescent="0.25">
      <c r="A564" t="s">
        <v>951</v>
      </c>
      <c r="B564" s="20">
        <v>45779</v>
      </c>
      <c r="C564" t="s">
        <v>30</v>
      </c>
      <c r="D564" t="s">
        <v>157</v>
      </c>
      <c r="E564" t="s">
        <v>158</v>
      </c>
      <c r="F564" t="s">
        <v>21</v>
      </c>
      <c r="G564" t="s">
        <v>62</v>
      </c>
      <c r="H564" t="s">
        <v>112</v>
      </c>
      <c r="I564" t="s">
        <v>113</v>
      </c>
      <c r="J564" t="s">
        <v>36</v>
      </c>
      <c r="K564">
        <v>3</v>
      </c>
      <c r="L564" s="3">
        <v>144000</v>
      </c>
      <c r="M564" s="3">
        <v>120750</v>
      </c>
      <c r="N564">
        <v>0.15</v>
      </c>
      <c r="O564" t="s">
        <v>47</v>
      </c>
      <c r="P564" t="s">
        <v>27</v>
      </c>
      <c r="Q564" s="3">
        <f>Table13[[#This Row],[Quantity]]*Table13[[#This Row],[UnitPrice_NGN]]</f>
        <v>432000</v>
      </c>
      <c r="R564" s="9">
        <f>Table13[[#This Row],[GrossRevenue]]*(1-Table13[[#This Row],[DiscountRate]])</f>
        <v>367200</v>
      </c>
      <c r="S564" s="3">
        <f>Table13[[#This Row],[Quantity]]*Table13[[#This Row],[UnitCost_NGN]]</f>
        <v>362250</v>
      </c>
      <c r="T564" s="3">
        <f>Table13[[#This Row],[NetRevenue]]-Table13[[#This Row],[TotalCost]]</f>
        <v>4950</v>
      </c>
      <c r="U564" s="3"/>
    </row>
    <row r="565" spans="1:21" x14ac:dyDescent="0.25">
      <c r="A565" t="s">
        <v>952</v>
      </c>
      <c r="B565" s="20">
        <v>45955</v>
      </c>
      <c r="C565" t="s">
        <v>30</v>
      </c>
      <c r="D565" t="s">
        <v>31</v>
      </c>
      <c r="E565" t="s">
        <v>32</v>
      </c>
      <c r="F565" t="s">
        <v>21</v>
      </c>
      <c r="G565" t="s">
        <v>22</v>
      </c>
      <c r="H565" t="s">
        <v>34</v>
      </c>
      <c r="I565" t="s">
        <v>35</v>
      </c>
      <c r="J565" t="s">
        <v>36</v>
      </c>
      <c r="K565">
        <v>4</v>
      </c>
      <c r="L565" s="3">
        <v>472500</v>
      </c>
      <c r="M565" s="3">
        <v>350000</v>
      </c>
      <c r="N565">
        <v>0</v>
      </c>
      <c r="O565" t="s">
        <v>57</v>
      </c>
      <c r="P565" t="s">
        <v>72</v>
      </c>
      <c r="Q565" s="3">
        <f>Table13[[#This Row],[Quantity]]*Table13[[#This Row],[UnitPrice_NGN]]</f>
        <v>1890000</v>
      </c>
      <c r="R565" s="9">
        <f>Table13[[#This Row],[GrossRevenue]]*(1-Table13[[#This Row],[DiscountRate]])</f>
        <v>1890000</v>
      </c>
      <c r="S565" s="3">
        <f>Table13[[#This Row],[Quantity]]*Table13[[#This Row],[UnitCost_NGN]]</f>
        <v>1400000</v>
      </c>
      <c r="T565" s="3">
        <f>Table13[[#This Row],[NetRevenue]]-Table13[[#This Row],[TotalCost]]</f>
        <v>490000</v>
      </c>
      <c r="U565" s="3"/>
    </row>
    <row r="566" spans="1:21" x14ac:dyDescent="0.25">
      <c r="A566" t="s">
        <v>954</v>
      </c>
      <c r="B566" s="20">
        <v>45899</v>
      </c>
      <c r="C566" t="s">
        <v>30</v>
      </c>
      <c r="D566" t="s">
        <v>78</v>
      </c>
      <c r="E566" t="s">
        <v>79</v>
      </c>
      <c r="F566" t="s">
        <v>80</v>
      </c>
      <c r="G566" t="s">
        <v>22</v>
      </c>
      <c r="H566" t="s">
        <v>23</v>
      </c>
      <c r="I566" t="s">
        <v>97</v>
      </c>
      <c r="J566" t="s">
        <v>56</v>
      </c>
      <c r="K566">
        <v>1</v>
      </c>
      <c r="L566" s="3">
        <v>125000</v>
      </c>
      <c r="M566" s="3">
        <v>80750</v>
      </c>
      <c r="N566">
        <v>0</v>
      </c>
      <c r="O566" t="s">
        <v>57</v>
      </c>
      <c r="P566" t="s">
        <v>27</v>
      </c>
      <c r="Q566" s="3">
        <f>Table13[[#This Row],[Quantity]]*Table13[[#This Row],[UnitPrice_NGN]]</f>
        <v>125000</v>
      </c>
      <c r="R566" s="9">
        <f>Table13[[#This Row],[GrossRevenue]]*(1-Table13[[#This Row],[DiscountRate]])</f>
        <v>125000</v>
      </c>
      <c r="S566" s="3">
        <f>Table13[[#This Row],[Quantity]]*Table13[[#This Row],[UnitCost_NGN]]</f>
        <v>80750</v>
      </c>
      <c r="T566" s="3">
        <f>Table13[[#This Row],[NetRevenue]]-Table13[[#This Row],[TotalCost]]</f>
        <v>44250</v>
      </c>
      <c r="U566" s="3"/>
    </row>
    <row r="567" spans="1:21" x14ac:dyDescent="0.25">
      <c r="A567" t="s">
        <v>955</v>
      </c>
      <c r="B567" s="20">
        <v>45890</v>
      </c>
      <c r="C567" t="s">
        <v>40</v>
      </c>
      <c r="D567" t="s">
        <v>31</v>
      </c>
      <c r="E567" t="s">
        <v>32</v>
      </c>
      <c r="F567" t="s">
        <v>21</v>
      </c>
      <c r="G567" t="s">
        <v>62</v>
      </c>
      <c r="H567" t="s">
        <v>112</v>
      </c>
      <c r="I567" t="s">
        <v>45</v>
      </c>
      <c r="J567" t="s">
        <v>46</v>
      </c>
      <c r="K567">
        <v>10</v>
      </c>
      <c r="L567" s="3">
        <v>18500</v>
      </c>
      <c r="M567" s="3">
        <v>13775</v>
      </c>
      <c r="N567">
        <v>0.05</v>
      </c>
      <c r="O567" t="s">
        <v>47</v>
      </c>
      <c r="P567" t="s">
        <v>133</v>
      </c>
      <c r="Q567" s="3">
        <f>Table13[[#This Row],[Quantity]]*Table13[[#This Row],[UnitPrice_NGN]]</f>
        <v>185000</v>
      </c>
      <c r="R567" s="9">
        <f>Table13[[#This Row],[GrossRevenue]]*(1-Table13[[#This Row],[DiscountRate]])</f>
        <v>175750</v>
      </c>
      <c r="S567" s="3">
        <f>Table13[[#This Row],[Quantity]]*Table13[[#This Row],[UnitCost_NGN]]</f>
        <v>137750</v>
      </c>
      <c r="T567" s="3">
        <f>Table13[[#This Row],[NetRevenue]]-Table13[[#This Row],[TotalCost]]</f>
        <v>38000</v>
      </c>
      <c r="U567" s="3"/>
    </row>
    <row r="568" spans="1:21" x14ac:dyDescent="0.25">
      <c r="A568" t="s">
        <v>956</v>
      </c>
      <c r="B568" s="20">
        <v>45946</v>
      </c>
      <c r="C568" t="s">
        <v>18</v>
      </c>
      <c r="D568" t="s">
        <v>41</v>
      </c>
      <c r="E568" t="s">
        <v>42</v>
      </c>
      <c r="F568" t="s">
        <v>43</v>
      </c>
      <c r="G568" t="s">
        <v>33</v>
      </c>
      <c r="H568" t="s">
        <v>23</v>
      </c>
      <c r="I568" t="s">
        <v>70</v>
      </c>
      <c r="J568" t="s">
        <v>71</v>
      </c>
      <c r="K568">
        <v>1</v>
      </c>
      <c r="L568" s="3">
        <v>99750</v>
      </c>
      <c r="M568" s="3">
        <v>62000</v>
      </c>
      <c r="N568">
        <v>0.15</v>
      </c>
      <c r="O568" t="s">
        <v>90</v>
      </c>
      <c r="P568" t="s">
        <v>48</v>
      </c>
      <c r="Q568" s="3">
        <f>Table13[[#This Row],[Quantity]]*Table13[[#This Row],[UnitPrice_NGN]]</f>
        <v>99750</v>
      </c>
      <c r="R568" s="9">
        <f>Table13[[#This Row],[GrossRevenue]]*(1-Table13[[#This Row],[DiscountRate]])</f>
        <v>84787.5</v>
      </c>
      <c r="S568" s="3">
        <f>Table13[[#This Row],[Quantity]]*Table13[[#This Row],[UnitCost_NGN]]</f>
        <v>62000</v>
      </c>
      <c r="T568" s="3">
        <f>Table13[[#This Row],[NetRevenue]]-Table13[[#This Row],[TotalCost]]</f>
        <v>22787.5</v>
      </c>
      <c r="U568" s="3"/>
    </row>
    <row r="569" spans="1:21" x14ac:dyDescent="0.25">
      <c r="A569" t="s">
        <v>957</v>
      </c>
      <c r="B569" s="20">
        <v>45906</v>
      </c>
      <c r="C569" t="s">
        <v>18</v>
      </c>
      <c r="D569" t="s">
        <v>31</v>
      </c>
      <c r="E569" t="s">
        <v>32</v>
      </c>
      <c r="F569" t="s">
        <v>21</v>
      </c>
      <c r="G569" t="s">
        <v>22</v>
      </c>
      <c r="H569" t="s">
        <v>63</v>
      </c>
      <c r="I569" t="s">
        <v>45</v>
      </c>
      <c r="J569" t="s">
        <v>46</v>
      </c>
      <c r="K569">
        <v>5</v>
      </c>
      <c r="L569" s="3">
        <v>18500</v>
      </c>
      <c r="M569" s="3">
        <v>13775</v>
      </c>
      <c r="N569">
        <v>0</v>
      </c>
      <c r="O569" t="s">
        <v>57</v>
      </c>
      <c r="P569" t="s">
        <v>48</v>
      </c>
      <c r="Q569" s="3">
        <f>Table13[[#This Row],[Quantity]]*Table13[[#This Row],[UnitPrice_NGN]]</f>
        <v>92500</v>
      </c>
      <c r="R569" s="9">
        <f>Table13[[#This Row],[GrossRevenue]]*(1-Table13[[#This Row],[DiscountRate]])</f>
        <v>92500</v>
      </c>
      <c r="S569" s="3">
        <f>Table13[[#This Row],[Quantity]]*Table13[[#This Row],[UnitCost_NGN]]</f>
        <v>68875</v>
      </c>
      <c r="T569" s="3">
        <f>Table13[[#This Row],[NetRevenue]]-Table13[[#This Row],[TotalCost]]</f>
        <v>23625</v>
      </c>
      <c r="U569" s="3"/>
    </row>
    <row r="570" spans="1:21" x14ac:dyDescent="0.25">
      <c r="A570" t="s">
        <v>958</v>
      </c>
      <c r="B570" s="20">
        <v>45715</v>
      </c>
      <c r="C570" t="s">
        <v>18</v>
      </c>
      <c r="D570" t="s">
        <v>131</v>
      </c>
      <c r="E570" t="s">
        <v>132</v>
      </c>
      <c r="F570" t="s">
        <v>80</v>
      </c>
      <c r="G570" t="s">
        <v>44</v>
      </c>
      <c r="H570" t="s">
        <v>112</v>
      </c>
      <c r="I570" t="s">
        <v>75</v>
      </c>
      <c r="J570" t="s">
        <v>36</v>
      </c>
      <c r="K570">
        <v>2</v>
      </c>
      <c r="L570" s="3">
        <v>198000</v>
      </c>
      <c r="M570" s="3">
        <v>130000</v>
      </c>
      <c r="N570">
        <v>0</v>
      </c>
      <c r="O570" t="s">
        <v>47</v>
      </c>
      <c r="P570" t="s">
        <v>133</v>
      </c>
      <c r="Q570" s="3">
        <f>Table13[[#This Row],[Quantity]]*Table13[[#This Row],[UnitPrice_NGN]]</f>
        <v>396000</v>
      </c>
      <c r="R570" s="9">
        <f>Table13[[#This Row],[GrossRevenue]]*(1-Table13[[#This Row],[DiscountRate]])</f>
        <v>396000</v>
      </c>
      <c r="S570" s="3">
        <f>Table13[[#This Row],[Quantity]]*Table13[[#This Row],[UnitCost_NGN]]</f>
        <v>260000</v>
      </c>
      <c r="T570" s="3">
        <f>Table13[[#This Row],[NetRevenue]]-Table13[[#This Row],[TotalCost]]</f>
        <v>136000</v>
      </c>
      <c r="U570" s="3"/>
    </row>
    <row r="571" spans="1:21" x14ac:dyDescent="0.25">
      <c r="A571" t="s">
        <v>960</v>
      </c>
      <c r="B571" s="20">
        <v>45928</v>
      </c>
      <c r="C571" t="s">
        <v>40</v>
      </c>
      <c r="D571" t="s">
        <v>41</v>
      </c>
      <c r="E571" t="s">
        <v>42</v>
      </c>
      <c r="F571" t="s">
        <v>43</v>
      </c>
      <c r="G571" t="s">
        <v>22</v>
      </c>
      <c r="H571" t="s">
        <v>34</v>
      </c>
      <c r="I571" t="s">
        <v>75</v>
      </c>
      <c r="J571" t="s">
        <v>36</v>
      </c>
      <c r="K571">
        <v>6</v>
      </c>
      <c r="L571" s="3">
        <v>171000</v>
      </c>
      <c r="M571" s="3">
        <v>136500</v>
      </c>
      <c r="N571">
        <v>0</v>
      </c>
      <c r="O571" t="s">
        <v>90</v>
      </c>
      <c r="P571" t="s">
        <v>48</v>
      </c>
      <c r="Q571" s="3">
        <f>Table13[[#This Row],[Quantity]]*Table13[[#This Row],[UnitPrice_NGN]]</f>
        <v>1026000</v>
      </c>
      <c r="R571" s="9">
        <f>Table13[[#This Row],[GrossRevenue]]*(1-Table13[[#This Row],[DiscountRate]])</f>
        <v>1026000</v>
      </c>
      <c r="S571" s="3">
        <f>Table13[[#This Row],[Quantity]]*Table13[[#This Row],[UnitCost_NGN]]</f>
        <v>819000</v>
      </c>
      <c r="T571" s="3">
        <f>Table13[[#This Row],[NetRevenue]]-Table13[[#This Row],[TotalCost]]</f>
        <v>207000</v>
      </c>
      <c r="U571" s="3"/>
    </row>
    <row r="572" spans="1:21" x14ac:dyDescent="0.25">
      <c r="A572" t="s">
        <v>962</v>
      </c>
      <c r="B572" s="20">
        <v>45984</v>
      </c>
      <c r="C572" t="s">
        <v>18</v>
      </c>
      <c r="D572" t="s">
        <v>83</v>
      </c>
      <c r="E572" t="s">
        <v>84</v>
      </c>
      <c r="F572" t="s">
        <v>85</v>
      </c>
      <c r="G572" t="s">
        <v>62</v>
      </c>
      <c r="H572" t="s">
        <v>96</v>
      </c>
      <c r="I572" t="s">
        <v>97</v>
      </c>
      <c r="J572" t="s">
        <v>56</v>
      </c>
      <c r="K572">
        <v>6</v>
      </c>
      <c r="L572" s="3">
        <v>118750</v>
      </c>
      <c r="M572" s="3">
        <v>89250</v>
      </c>
      <c r="N572">
        <v>0.15</v>
      </c>
      <c r="O572" t="s">
        <v>57</v>
      </c>
      <c r="P572" t="s">
        <v>48</v>
      </c>
      <c r="Q572" s="3">
        <f>Table13[[#This Row],[Quantity]]*Table13[[#This Row],[UnitPrice_NGN]]</f>
        <v>712500</v>
      </c>
      <c r="R572" s="9">
        <f>Table13[[#This Row],[GrossRevenue]]*(1-Table13[[#This Row],[DiscountRate]])</f>
        <v>605625</v>
      </c>
      <c r="S572" s="3">
        <f>Table13[[#This Row],[Quantity]]*Table13[[#This Row],[UnitCost_NGN]]</f>
        <v>535500</v>
      </c>
      <c r="T572" s="3">
        <f>Table13[[#This Row],[NetRevenue]]-Table13[[#This Row],[TotalCost]]</f>
        <v>70125</v>
      </c>
      <c r="U572" s="3"/>
    </row>
    <row r="573" spans="1:21" x14ac:dyDescent="0.25">
      <c r="A573" t="s">
        <v>963</v>
      </c>
      <c r="B573" s="20">
        <v>45901</v>
      </c>
      <c r="C573" t="s">
        <v>30</v>
      </c>
      <c r="D573" t="s">
        <v>31</v>
      </c>
      <c r="E573" t="s">
        <v>32</v>
      </c>
      <c r="F573" t="s">
        <v>21</v>
      </c>
      <c r="G573" t="s">
        <v>44</v>
      </c>
      <c r="H573" t="s">
        <v>112</v>
      </c>
      <c r="I573" t="s">
        <v>51</v>
      </c>
      <c r="J573" t="s">
        <v>36</v>
      </c>
      <c r="K573">
        <v>1</v>
      </c>
      <c r="L573" s="3">
        <v>280000</v>
      </c>
      <c r="M573" s="3">
        <v>220500</v>
      </c>
      <c r="N573">
        <v>0</v>
      </c>
      <c r="O573" t="s">
        <v>26</v>
      </c>
      <c r="P573" t="s">
        <v>27</v>
      </c>
      <c r="Q573" s="3">
        <f>Table13[[#This Row],[Quantity]]*Table13[[#This Row],[UnitPrice_NGN]]</f>
        <v>280000</v>
      </c>
      <c r="R573" s="9">
        <f>Table13[[#This Row],[GrossRevenue]]*(1-Table13[[#This Row],[DiscountRate]])</f>
        <v>280000</v>
      </c>
      <c r="S573" s="3">
        <f>Table13[[#This Row],[Quantity]]*Table13[[#This Row],[UnitCost_NGN]]</f>
        <v>220500</v>
      </c>
      <c r="T573" s="3">
        <f>Table13[[#This Row],[NetRevenue]]-Table13[[#This Row],[TotalCost]]</f>
        <v>59500</v>
      </c>
      <c r="U573" s="3"/>
    </row>
    <row r="574" spans="1:21" x14ac:dyDescent="0.25">
      <c r="A574" t="s">
        <v>964</v>
      </c>
      <c r="B574" s="20">
        <v>45805</v>
      </c>
      <c r="C574" t="s">
        <v>40</v>
      </c>
      <c r="D574" t="s">
        <v>41</v>
      </c>
      <c r="E574" t="s">
        <v>42</v>
      </c>
      <c r="F574" t="s">
        <v>43</v>
      </c>
      <c r="G574" t="s">
        <v>62</v>
      </c>
      <c r="H574" t="s">
        <v>23</v>
      </c>
      <c r="I574" t="s">
        <v>97</v>
      </c>
      <c r="J574" t="s">
        <v>56</v>
      </c>
      <c r="K574">
        <v>1</v>
      </c>
      <c r="L574" s="3">
        <v>137500</v>
      </c>
      <c r="M574" s="3">
        <v>89250</v>
      </c>
      <c r="N574">
        <v>0</v>
      </c>
      <c r="O574" t="s">
        <v>148</v>
      </c>
      <c r="P574" t="s">
        <v>72</v>
      </c>
      <c r="Q574" s="3">
        <f>Table13[[#This Row],[Quantity]]*Table13[[#This Row],[UnitPrice_NGN]]</f>
        <v>137500</v>
      </c>
      <c r="R574" s="9">
        <f>Table13[[#This Row],[GrossRevenue]]*(1-Table13[[#This Row],[DiscountRate]])</f>
        <v>137500</v>
      </c>
      <c r="S574" s="3">
        <f>Table13[[#This Row],[Quantity]]*Table13[[#This Row],[UnitCost_NGN]]</f>
        <v>89250</v>
      </c>
      <c r="T574" s="3">
        <f>Table13[[#This Row],[NetRevenue]]-Table13[[#This Row],[TotalCost]]</f>
        <v>48250</v>
      </c>
      <c r="U574" s="3"/>
    </row>
    <row r="575" spans="1:21" x14ac:dyDescent="0.25">
      <c r="A575" t="s">
        <v>965</v>
      </c>
      <c r="B575" s="20">
        <v>45991</v>
      </c>
      <c r="C575" t="s">
        <v>40</v>
      </c>
      <c r="D575" t="s">
        <v>78</v>
      </c>
      <c r="E575" t="s">
        <v>79</v>
      </c>
      <c r="F575" t="s">
        <v>80</v>
      </c>
      <c r="G575" t="s">
        <v>62</v>
      </c>
      <c r="H575" t="s">
        <v>63</v>
      </c>
      <c r="I575" t="s">
        <v>51</v>
      </c>
      <c r="J575" t="s">
        <v>36</v>
      </c>
      <c r="K575">
        <v>4</v>
      </c>
      <c r="L575" s="3">
        <v>308000</v>
      </c>
      <c r="M575" s="3">
        <v>220500</v>
      </c>
      <c r="N575">
        <v>0.1</v>
      </c>
      <c r="O575" t="s">
        <v>52</v>
      </c>
      <c r="P575" t="s">
        <v>48</v>
      </c>
      <c r="Q575" s="3">
        <f>Table13[[#This Row],[Quantity]]*Table13[[#This Row],[UnitPrice_NGN]]</f>
        <v>1232000</v>
      </c>
      <c r="R575" s="9">
        <f>Table13[[#This Row],[GrossRevenue]]*(1-Table13[[#This Row],[DiscountRate]])</f>
        <v>1108800</v>
      </c>
      <c r="S575" s="3">
        <f>Table13[[#This Row],[Quantity]]*Table13[[#This Row],[UnitCost_NGN]]</f>
        <v>882000</v>
      </c>
      <c r="T575" s="3">
        <f>Table13[[#This Row],[NetRevenue]]-Table13[[#This Row],[TotalCost]]</f>
        <v>226800</v>
      </c>
      <c r="U575" s="3"/>
    </row>
    <row r="576" spans="1:21" x14ac:dyDescent="0.25">
      <c r="A576" t="s">
        <v>966</v>
      </c>
      <c r="B576" s="20">
        <v>46002</v>
      </c>
      <c r="C576" t="s">
        <v>18</v>
      </c>
      <c r="D576" t="s">
        <v>120</v>
      </c>
      <c r="E576" t="s">
        <v>121</v>
      </c>
      <c r="F576" t="s">
        <v>122</v>
      </c>
      <c r="G576" t="s">
        <v>62</v>
      </c>
      <c r="H576" t="s">
        <v>34</v>
      </c>
      <c r="I576" t="s">
        <v>70</v>
      </c>
      <c r="J576" t="s">
        <v>71</v>
      </c>
      <c r="K576">
        <v>4</v>
      </c>
      <c r="L576" s="3">
        <v>95000</v>
      </c>
      <c r="M576" s="3">
        <v>62000</v>
      </c>
      <c r="N576">
        <v>0.15</v>
      </c>
      <c r="O576" t="s">
        <v>47</v>
      </c>
      <c r="P576" t="s">
        <v>133</v>
      </c>
      <c r="Q576" s="3">
        <f>Table13[[#This Row],[Quantity]]*Table13[[#This Row],[UnitPrice_NGN]]</f>
        <v>380000</v>
      </c>
      <c r="R576" s="9">
        <f>Table13[[#This Row],[GrossRevenue]]*(1-Table13[[#This Row],[DiscountRate]])</f>
        <v>323000</v>
      </c>
      <c r="S576" s="3">
        <f>Table13[[#This Row],[Quantity]]*Table13[[#This Row],[UnitCost_NGN]]</f>
        <v>248000</v>
      </c>
      <c r="T576" s="3">
        <f>Table13[[#This Row],[NetRevenue]]-Table13[[#This Row],[TotalCost]]</f>
        <v>75000</v>
      </c>
      <c r="U576" s="3"/>
    </row>
    <row r="577" spans="1:21" x14ac:dyDescent="0.25">
      <c r="A577" t="s">
        <v>968</v>
      </c>
      <c r="B577" s="20">
        <v>45868</v>
      </c>
      <c r="C577" t="s">
        <v>30</v>
      </c>
      <c r="D577" t="s">
        <v>31</v>
      </c>
      <c r="E577" t="s">
        <v>32</v>
      </c>
      <c r="F577" t="s">
        <v>21</v>
      </c>
      <c r="G577" t="s">
        <v>22</v>
      </c>
      <c r="H577" t="s">
        <v>112</v>
      </c>
      <c r="I577" t="s">
        <v>93</v>
      </c>
      <c r="J577" t="s">
        <v>46</v>
      </c>
      <c r="K577">
        <v>5</v>
      </c>
      <c r="L577" s="3">
        <v>104500</v>
      </c>
      <c r="M577" s="3">
        <v>77900</v>
      </c>
      <c r="N577">
        <v>0</v>
      </c>
      <c r="O577" t="s">
        <v>47</v>
      </c>
      <c r="P577" t="s">
        <v>48</v>
      </c>
      <c r="Q577" s="3">
        <f>Table13[[#This Row],[Quantity]]*Table13[[#This Row],[UnitPrice_NGN]]</f>
        <v>522500</v>
      </c>
      <c r="R577" s="9">
        <f>Table13[[#This Row],[GrossRevenue]]*(1-Table13[[#This Row],[DiscountRate]])</f>
        <v>522500</v>
      </c>
      <c r="S577" s="3">
        <f>Table13[[#This Row],[Quantity]]*Table13[[#This Row],[UnitCost_NGN]]</f>
        <v>389500</v>
      </c>
      <c r="T577" s="3">
        <f>Table13[[#This Row],[NetRevenue]]-Table13[[#This Row],[TotalCost]]</f>
        <v>133000</v>
      </c>
      <c r="U577" s="3"/>
    </row>
    <row r="578" spans="1:21" x14ac:dyDescent="0.25">
      <c r="A578" t="s">
        <v>969</v>
      </c>
      <c r="B578" s="20">
        <v>45975</v>
      </c>
      <c r="C578" t="s">
        <v>18</v>
      </c>
      <c r="D578" t="s">
        <v>136</v>
      </c>
      <c r="E578" t="s">
        <v>137</v>
      </c>
      <c r="F578" t="s">
        <v>122</v>
      </c>
      <c r="G578" t="s">
        <v>44</v>
      </c>
      <c r="H578" t="s">
        <v>23</v>
      </c>
      <c r="I578" t="s">
        <v>113</v>
      </c>
      <c r="J578" t="s">
        <v>36</v>
      </c>
      <c r="K578">
        <v>2</v>
      </c>
      <c r="L578" s="3">
        <v>152000</v>
      </c>
      <c r="M578" s="3">
        <v>109250</v>
      </c>
      <c r="N578">
        <v>0</v>
      </c>
      <c r="O578" t="s">
        <v>52</v>
      </c>
      <c r="P578" t="s">
        <v>48</v>
      </c>
      <c r="Q578" s="3">
        <f>Table13[[#This Row],[Quantity]]*Table13[[#This Row],[UnitPrice_NGN]]</f>
        <v>304000</v>
      </c>
      <c r="R578" s="9">
        <f>Table13[[#This Row],[GrossRevenue]]*(1-Table13[[#This Row],[DiscountRate]])</f>
        <v>304000</v>
      </c>
      <c r="S578" s="3">
        <f>Table13[[#This Row],[Quantity]]*Table13[[#This Row],[UnitCost_NGN]]</f>
        <v>218500</v>
      </c>
      <c r="T578" s="3">
        <f>Table13[[#This Row],[NetRevenue]]-Table13[[#This Row],[TotalCost]]</f>
        <v>85500</v>
      </c>
      <c r="U578" s="3"/>
    </row>
    <row r="579" spans="1:21" x14ac:dyDescent="0.25">
      <c r="A579" t="s">
        <v>970</v>
      </c>
      <c r="B579" s="20">
        <v>45994</v>
      </c>
      <c r="C579" t="s">
        <v>30</v>
      </c>
      <c r="D579" t="s">
        <v>19</v>
      </c>
      <c r="E579" t="s">
        <v>20</v>
      </c>
      <c r="F579" t="s">
        <v>21</v>
      </c>
      <c r="G579" t="s">
        <v>44</v>
      </c>
      <c r="H579" t="s">
        <v>96</v>
      </c>
      <c r="I579" t="s">
        <v>102</v>
      </c>
      <c r="J579" t="s">
        <v>25</v>
      </c>
      <c r="K579">
        <v>1</v>
      </c>
      <c r="L579" s="3">
        <v>42000</v>
      </c>
      <c r="M579" s="3">
        <v>26000</v>
      </c>
      <c r="N579">
        <v>0.05</v>
      </c>
      <c r="O579" t="s">
        <v>90</v>
      </c>
      <c r="P579" t="s">
        <v>27</v>
      </c>
      <c r="Q579" s="3">
        <f>Table13[[#This Row],[Quantity]]*Table13[[#This Row],[UnitPrice_NGN]]</f>
        <v>42000</v>
      </c>
      <c r="R579" s="9">
        <f>Table13[[#This Row],[GrossRevenue]]*(1-Table13[[#This Row],[DiscountRate]])</f>
        <v>39900</v>
      </c>
      <c r="S579" s="3">
        <f>Table13[[#This Row],[Quantity]]*Table13[[#This Row],[UnitCost_NGN]]</f>
        <v>26000</v>
      </c>
      <c r="T579" s="3">
        <f>Table13[[#This Row],[NetRevenue]]-Table13[[#This Row],[TotalCost]]</f>
        <v>13900</v>
      </c>
      <c r="U579" s="3"/>
    </row>
    <row r="580" spans="1:21" x14ac:dyDescent="0.25">
      <c r="A580" t="s">
        <v>971</v>
      </c>
      <c r="B580" s="20">
        <v>45876</v>
      </c>
      <c r="C580" t="s">
        <v>30</v>
      </c>
      <c r="D580" t="s">
        <v>41</v>
      </c>
      <c r="E580" t="s">
        <v>42</v>
      </c>
      <c r="F580" t="s">
        <v>43</v>
      </c>
      <c r="G580" t="s">
        <v>62</v>
      </c>
      <c r="H580" t="s">
        <v>63</v>
      </c>
      <c r="I580" t="s">
        <v>70</v>
      </c>
      <c r="J580" t="s">
        <v>71</v>
      </c>
      <c r="K580">
        <v>3</v>
      </c>
      <c r="L580" s="3">
        <v>85500</v>
      </c>
      <c r="M580" s="3">
        <v>65100</v>
      </c>
      <c r="N580">
        <v>0</v>
      </c>
      <c r="O580" t="s">
        <v>90</v>
      </c>
      <c r="P580" t="s">
        <v>27</v>
      </c>
      <c r="Q580" s="3">
        <f>Table13[[#This Row],[Quantity]]*Table13[[#This Row],[UnitPrice_NGN]]</f>
        <v>256500</v>
      </c>
      <c r="R580" s="9">
        <f>Table13[[#This Row],[GrossRevenue]]*(1-Table13[[#This Row],[DiscountRate]])</f>
        <v>256500</v>
      </c>
      <c r="S580" s="3">
        <f>Table13[[#This Row],[Quantity]]*Table13[[#This Row],[UnitCost_NGN]]</f>
        <v>195300</v>
      </c>
      <c r="T580" s="3">
        <f>Table13[[#This Row],[NetRevenue]]-Table13[[#This Row],[TotalCost]]</f>
        <v>61200</v>
      </c>
      <c r="U580" s="3"/>
    </row>
    <row r="581" spans="1:21" x14ac:dyDescent="0.25">
      <c r="A581" t="s">
        <v>973</v>
      </c>
      <c r="B581" s="20">
        <v>45688</v>
      </c>
      <c r="C581" t="s">
        <v>40</v>
      </c>
      <c r="D581" t="s">
        <v>41</v>
      </c>
      <c r="E581" t="s">
        <v>42</v>
      </c>
      <c r="F581" t="s">
        <v>43</v>
      </c>
      <c r="G581" t="s">
        <v>44</v>
      </c>
      <c r="H581" t="s">
        <v>112</v>
      </c>
      <c r="I581" t="s">
        <v>51</v>
      </c>
      <c r="J581" t="s">
        <v>36</v>
      </c>
      <c r="K581">
        <v>6</v>
      </c>
      <c r="L581" s="3">
        <v>280000</v>
      </c>
      <c r="M581" s="3">
        <v>220500</v>
      </c>
      <c r="N581">
        <v>0</v>
      </c>
      <c r="O581" t="s">
        <v>52</v>
      </c>
      <c r="P581" t="s">
        <v>48</v>
      </c>
      <c r="Q581" s="3">
        <f>Table13[[#This Row],[Quantity]]*Table13[[#This Row],[UnitPrice_NGN]]</f>
        <v>1680000</v>
      </c>
      <c r="R581" s="9">
        <f>Table13[[#This Row],[GrossRevenue]]*(1-Table13[[#This Row],[DiscountRate]])</f>
        <v>1680000</v>
      </c>
      <c r="S581" s="3">
        <f>Table13[[#This Row],[Quantity]]*Table13[[#This Row],[UnitCost_NGN]]</f>
        <v>1323000</v>
      </c>
      <c r="T581" s="3">
        <f>Table13[[#This Row],[NetRevenue]]-Table13[[#This Row],[TotalCost]]</f>
        <v>357000</v>
      </c>
      <c r="U581" s="3"/>
    </row>
    <row r="582" spans="1:21" x14ac:dyDescent="0.25">
      <c r="A582" t="s">
        <v>974</v>
      </c>
      <c r="B582" s="20">
        <v>45731</v>
      </c>
      <c r="C582" t="s">
        <v>40</v>
      </c>
      <c r="D582" t="s">
        <v>60</v>
      </c>
      <c r="E582" t="s">
        <v>61</v>
      </c>
      <c r="F582" t="s">
        <v>43</v>
      </c>
      <c r="G582" t="s">
        <v>44</v>
      </c>
      <c r="H582" t="s">
        <v>23</v>
      </c>
      <c r="I582" t="s">
        <v>97</v>
      </c>
      <c r="J582" t="s">
        <v>56</v>
      </c>
      <c r="K582">
        <v>4</v>
      </c>
      <c r="L582" s="3">
        <v>118750</v>
      </c>
      <c r="M582" s="3">
        <v>89250</v>
      </c>
      <c r="N582">
        <v>0</v>
      </c>
      <c r="O582" t="s">
        <v>52</v>
      </c>
      <c r="P582" t="s">
        <v>133</v>
      </c>
      <c r="Q582" s="3">
        <f>Table13[[#This Row],[Quantity]]*Table13[[#This Row],[UnitPrice_NGN]]</f>
        <v>475000</v>
      </c>
      <c r="R582" s="9">
        <f>Table13[[#This Row],[GrossRevenue]]*(1-Table13[[#This Row],[DiscountRate]])</f>
        <v>475000</v>
      </c>
      <c r="S582" s="3">
        <f>Table13[[#This Row],[Quantity]]*Table13[[#This Row],[UnitCost_NGN]]</f>
        <v>357000</v>
      </c>
      <c r="T582" s="3">
        <f>Table13[[#This Row],[NetRevenue]]-Table13[[#This Row],[TotalCost]]</f>
        <v>118000</v>
      </c>
      <c r="U582" s="3"/>
    </row>
    <row r="583" spans="1:21" x14ac:dyDescent="0.25">
      <c r="A583" t="s">
        <v>976</v>
      </c>
      <c r="B583" s="20">
        <v>45950</v>
      </c>
      <c r="C583" t="s">
        <v>40</v>
      </c>
      <c r="D583" t="s">
        <v>136</v>
      </c>
      <c r="E583" t="s">
        <v>137</v>
      </c>
      <c r="F583" t="s">
        <v>122</v>
      </c>
      <c r="G583" t="s">
        <v>33</v>
      </c>
      <c r="H583" t="s">
        <v>96</v>
      </c>
      <c r="I583" t="s">
        <v>97</v>
      </c>
      <c r="J583" t="s">
        <v>56</v>
      </c>
      <c r="K583">
        <v>2</v>
      </c>
      <c r="L583" s="3">
        <v>112500</v>
      </c>
      <c r="M583" s="3">
        <v>80750</v>
      </c>
      <c r="N583">
        <v>0</v>
      </c>
      <c r="O583" t="s">
        <v>37</v>
      </c>
      <c r="P583" t="s">
        <v>27</v>
      </c>
      <c r="Q583" s="3">
        <f>Table13[[#This Row],[Quantity]]*Table13[[#This Row],[UnitPrice_NGN]]</f>
        <v>225000</v>
      </c>
      <c r="R583" s="9">
        <f>Table13[[#This Row],[GrossRevenue]]*(1-Table13[[#This Row],[DiscountRate]])</f>
        <v>225000</v>
      </c>
      <c r="S583" s="3">
        <f>Table13[[#This Row],[Quantity]]*Table13[[#This Row],[UnitCost_NGN]]</f>
        <v>161500</v>
      </c>
      <c r="T583" s="3">
        <f>Table13[[#This Row],[NetRevenue]]-Table13[[#This Row],[TotalCost]]</f>
        <v>63500</v>
      </c>
      <c r="U583" s="3"/>
    </row>
    <row r="584" spans="1:21" x14ac:dyDescent="0.25">
      <c r="A584" t="s">
        <v>977</v>
      </c>
      <c r="B584" s="20">
        <v>45735</v>
      </c>
      <c r="C584" t="s">
        <v>40</v>
      </c>
      <c r="D584" t="s">
        <v>120</v>
      </c>
      <c r="E584" t="s">
        <v>121</v>
      </c>
      <c r="F584" t="s">
        <v>122</v>
      </c>
      <c r="G584" t="s">
        <v>33</v>
      </c>
      <c r="H584" t="s">
        <v>23</v>
      </c>
      <c r="I584" t="s">
        <v>75</v>
      </c>
      <c r="J584" t="s">
        <v>36</v>
      </c>
      <c r="K584">
        <v>5</v>
      </c>
      <c r="L584" s="3">
        <v>162000</v>
      </c>
      <c r="M584" s="3">
        <v>136500</v>
      </c>
      <c r="N584">
        <v>0</v>
      </c>
      <c r="O584" t="s">
        <v>148</v>
      </c>
      <c r="P584" t="s">
        <v>27</v>
      </c>
      <c r="Q584" s="3">
        <f>Table13[[#This Row],[Quantity]]*Table13[[#This Row],[UnitPrice_NGN]]</f>
        <v>810000</v>
      </c>
      <c r="R584" s="9">
        <f>Table13[[#This Row],[GrossRevenue]]*(1-Table13[[#This Row],[DiscountRate]])</f>
        <v>810000</v>
      </c>
      <c r="S584" s="3">
        <f>Table13[[#This Row],[Quantity]]*Table13[[#This Row],[UnitCost_NGN]]</f>
        <v>682500</v>
      </c>
      <c r="T584" s="3">
        <f>Table13[[#This Row],[NetRevenue]]-Table13[[#This Row],[TotalCost]]</f>
        <v>127500</v>
      </c>
      <c r="U584" s="3"/>
    </row>
    <row r="585" spans="1:21" x14ac:dyDescent="0.25">
      <c r="A585" t="s">
        <v>978</v>
      </c>
      <c r="B585" s="20">
        <v>45864</v>
      </c>
      <c r="C585" t="s">
        <v>18</v>
      </c>
      <c r="D585" t="s">
        <v>136</v>
      </c>
      <c r="E585" t="s">
        <v>137</v>
      </c>
      <c r="F585" t="s">
        <v>122</v>
      </c>
      <c r="G585" t="s">
        <v>44</v>
      </c>
      <c r="H585" t="s">
        <v>96</v>
      </c>
      <c r="I585" t="s">
        <v>93</v>
      </c>
      <c r="J585" t="s">
        <v>46</v>
      </c>
      <c r="K585">
        <v>12</v>
      </c>
      <c r="L585" s="3">
        <v>95000</v>
      </c>
      <c r="M585" s="3">
        <v>86100</v>
      </c>
      <c r="N585">
        <v>0.05</v>
      </c>
      <c r="O585" t="s">
        <v>26</v>
      </c>
      <c r="P585" t="s">
        <v>27</v>
      </c>
      <c r="Q585" s="3">
        <f>Table13[[#This Row],[Quantity]]*Table13[[#This Row],[UnitPrice_NGN]]</f>
        <v>1140000</v>
      </c>
      <c r="R585" s="9">
        <f>Table13[[#This Row],[GrossRevenue]]*(1-Table13[[#This Row],[DiscountRate]])</f>
        <v>1083000</v>
      </c>
      <c r="S585" s="3">
        <f>Table13[[#This Row],[Quantity]]*Table13[[#This Row],[UnitCost_NGN]]</f>
        <v>1033200</v>
      </c>
      <c r="T585" s="3">
        <f>Table13[[#This Row],[NetRevenue]]-Table13[[#This Row],[TotalCost]]</f>
        <v>49800</v>
      </c>
      <c r="U585" s="3"/>
    </row>
    <row r="586" spans="1:21" x14ac:dyDescent="0.25">
      <c r="A586" t="s">
        <v>979</v>
      </c>
      <c r="B586" s="20">
        <v>46007</v>
      </c>
      <c r="C586" t="s">
        <v>40</v>
      </c>
      <c r="D586" t="s">
        <v>110</v>
      </c>
      <c r="E586" t="s">
        <v>111</v>
      </c>
      <c r="F586" t="s">
        <v>85</v>
      </c>
      <c r="G586" t="s">
        <v>22</v>
      </c>
      <c r="H586" t="s">
        <v>96</v>
      </c>
      <c r="I586" t="s">
        <v>102</v>
      </c>
      <c r="J586" t="s">
        <v>25</v>
      </c>
      <c r="K586">
        <v>1</v>
      </c>
      <c r="L586" s="3">
        <v>42000</v>
      </c>
      <c r="M586" s="3">
        <v>26000</v>
      </c>
      <c r="N586">
        <v>0</v>
      </c>
      <c r="O586" t="s">
        <v>47</v>
      </c>
      <c r="P586" t="s">
        <v>48</v>
      </c>
      <c r="Q586" s="3">
        <f>Table13[[#This Row],[Quantity]]*Table13[[#This Row],[UnitPrice_NGN]]</f>
        <v>42000</v>
      </c>
      <c r="R586" s="9">
        <f>Table13[[#This Row],[GrossRevenue]]*(1-Table13[[#This Row],[DiscountRate]])</f>
        <v>42000</v>
      </c>
      <c r="S586" s="3">
        <f>Table13[[#This Row],[Quantity]]*Table13[[#This Row],[UnitCost_NGN]]</f>
        <v>26000</v>
      </c>
      <c r="T586" s="3">
        <f>Table13[[#This Row],[NetRevenue]]-Table13[[#This Row],[TotalCost]]</f>
        <v>16000</v>
      </c>
      <c r="U586" s="3"/>
    </row>
    <row r="587" spans="1:21" x14ac:dyDescent="0.25">
      <c r="A587" t="s">
        <v>980</v>
      </c>
      <c r="B587" s="20">
        <v>45761</v>
      </c>
      <c r="C587" t="s">
        <v>30</v>
      </c>
      <c r="D587" t="s">
        <v>88</v>
      </c>
      <c r="E587" t="s">
        <v>89</v>
      </c>
      <c r="F587" t="s">
        <v>43</v>
      </c>
      <c r="G587" t="s">
        <v>22</v>
      </c>
      <c r="H587" t="s">
        <v>112</v>
      </c>
      <c r="I587" t="s">
        <v>93</v>
      </c>
      <c r="J587" t="s">
        <v>46</v>
      </c>
      <c r="K587">
        <v>1</v>
      </c>
      <c r="L587" s="3">
        <v>95000</v>
      </c>
      <c r="M587" s="3">
        <v>82000</v>
      </c>
      <c r="N587">
        <v>0.15</v>
      </c>
      <c r="O587" t="s">
        <v>64</v>
      </c>
      <c r="P587" t="s">
        <v>48</v>
      </c>
      <c r="Q587" s="3">
        <f>Table13[[#This Row],[Quantity]]*Table13[[#This Row],[UnitPrice_NGN]]</f>
        <v>95000</v>
      </c>
      <c r="R587" s="9">
        <f>Table13[[#This Row],[GrossRevenue]]*(1-Table13[[#This Row],[DiscountRate]])</f>
        <v>80750</v>
      </c>
      <c r="S587" s="3">
        <f>Table13[[#This Row],[Quantity]]*Table13[[#This Row],[UnitCost_NGN]]</f>
        <v>82000</v>
      </c>
      <c r="T587" s="3">
        <f>Table13[[#This Row],[NetRevenue]]-Table13[[#This Row],[TotalCost]]</f>
        <v>-1250</v>
      </c>
      <c r="U587" s="3"/>
    </row>
    <row r="588" spans="1:21" x14ac:dyDescent="0.25">
      <c r="A588" t="s">
        <v>981</v>
      </c>
      <c r="B588" s="20">
        <v>45701</v>
      </c>
      <c r="C588" t="s">
        <v>40</v>
      </c>
      <c r="D588" t="s">
        <v>136</v>
      </c>
      <c r="E588" t="s">
        <v>137</v>
      </c>
      <c r="F588" t="s">
        <v>122</v>
      </c>
      <c r="G588" t="s">
        <v>44</v>
      </c>
      <c r="H588" t="s">
        <v>34</v>
      </c>
      <c r="I588" t="s">
        <v>70</v>
      </c>
      <c r="J588" t="s">
        <v>71</v>
      </c>
      <c r="K588">
        <v>3</v>
      </c>
      <c r="L588" s="3">
        <v>85500</v>
      </c>
      <c r="M588" s="3">
        <v>62000</v>
      </c>
      <c r="N588">
        <v>0.05</v>
      </c>
      <c r="O588" t="s">
        <v>148</v>
      </c>
      <c r="P588" t="s">
        <v>27</v>
      </c>
      <c r="Q588" s="3">
        <f>Table13[[#This Row],[Quantity]]*Table13[[#This Row],[UnitPrice_NGN]]</f>
        <v>256500</v>
      </c>
      <c r="R588" s="9">
        <f>Table13[[#This Row],[GrossRevenue]]*(1-Table13[[#This Row],[DiscountRate]])</f>
        <v>243675</v>
      </c>
      <c r="S588" s="3">
        <f>Table13[[#This Row],[Quantity]]*Table13[[#This Row],[UnitCost_NGN]]</f>
        <v>186000</v>
      </c>
      <c r="T588" s="3">
        <f>Table13[[#This Row],[NetRevenue]]-Table13[[#This Row],[TotalCost]]</f>
        <v>57675</v>
      </c>
      <c r="U588" s="3"/>
    </row>
    <row r="589" spans="1:21" x14ac:dyDescent="0.25">
      <c r="A589" t="s">
        <v>983</v>
      </c>
      <c r="B589" s="20">
        <v>45857</v>
      </c>
      <c r="C589" t="s">
        <v>30</v>
      </c>
      <c r="D589" t="s">
        <v>31</v>
      </c>
      <c r="E589" t="s">
        <v>32</v>
      </c>
      <c r="F589" t="s">
        <v>21</v>
      </c>
      <c r="G589" t="s">
        <v>62</v>
      </c>
      <c r="H589" t="s">
        <v>112</v>
      </c>
      <c r="I589" t="s">
        <v>113</v>
      </c>
      <c r="J589" t="s">
        <v>36</v>
      </c>
      <c r="K589">
        <v>5</v>
      </c>
      <c r="L589" s="3">
        <v>160000</v>
      </c>
      <c r="M589" s="3">
        <v>115000</v>
      </c>
      <c r="N589">
        <v>0.05</v>
      </c>
      <c r="O589" t="s">
        <v>37</v>
      </c>
      <c r="P589" t="s">
        <v>48</v>
      </c>
      <c r="Q589" s="3">
        <f>Table13[[#This Row],[Quantity]]*Table13[[#This Row],[UnitPrice_NGN]]</f>
        <v>800000</v>
      </c>
      <c r="R589" s="9">
        <f>Table13[[#This Row],[GrossRevenue]]*(1-Table13[[#This Row],[DiscountRate]])</f>
        <v>760000</v>
      </c>
      <c r="S589" s="3">
        <f>Table13[[#This Row],[Quantity]]*Table13[[#This Row],[UnitCost_NGN]]</f>
        <v>575000</v>
      </c>
      <c r="T589" s="3">
        <f>Table13[[#This Row],[NetRevenue]]-Table13[[#This Row],[TotalCost]]</f>
        <v>185000</v>
      </c>
      <c r="U589" s="3"/>
    </row>
    <row r="590" spans="1:21" x14ac:dyDescent="0.25">
      <c r="A590" t="s">
        <v>984</v>
      </c>
      <c r="B590" s="20">
        <v>45718</v>
      </c>
      <c r="C590" t="s">
        <v>30</v>
      </c>
      <c r="D590" t="s">
        <v>31</v>
      </c>
      <c r="E590" t="s">
        <v>32</v>
      </c>
      <c r="F590" t="s">
        <v>21</v>
      </c>
      <c r="G590" t="s">
        <v>33</v>
      </c>
      <c r="H590" t="s">
        <v>23</v>
      </c>
      <c r="I590" t="s">
        <v>35</v>
      </c>
      <c r="J590" t="s">
        <v>36</v>
      </c>
      <c r="K590">
        <v>2</v>
      </c>
      <c r="L590" s="3">
        <v>450000</v>
      </c>
      <c r="M590" s="3">
        <v>332500</v>
      </c>
      <c r="N590">
        <v>0.05</v>
      </c>
      <c r="O590" t="s">
        <v>90</v>
      </c>
      <c r="P590" t="s">
        <v>48</v>
      </c>
      <c r="Q590" s="3">
        <f>Table13[[#This Row],[Quantity]]*Table13[[#This Row],[UnitPrice_NGN]]</f>
        <v>900000</v>
      </c>
      <c r="R590" s="9">
        <f>Table13[[#This Row],[GrossRevenue]]*(1-Table13[[#This Row],[DiscountRate]])</f>
        <v>855000</v>
      </c>
      <c r="S590" s="3">
        <f>Table13[[#This Row],[Quantity]]*Table13[[#This Row],[UnitCost_NGN]]</f>
        <v>665000</v>
      </c>
      <c r="T590" s="3">
        <f>Table13[[#This Row],[NetRevenue]]-Table13[[#This Row],[TotalCost]]</f>
        <v>190000</v>
      </c>
      <c r="U590" s="3"/>
    </row>
    <row r="591" spans="1:21" x14ac:dyDescent="0.25">
      <c r="A591" t="s">
        <v>985</v>
      </c>
      <c r="B591" s="20">
        <v>45730</v>
      </c>
      <c r="C591" t="s">
        <v>30</v>
      </c>
      <c r="D591" t="s">
        <v>131</v>
      </c>
      <c r="E591" t="s">
        <v>132</v>
      </c>
      <c r="F591" t="s">
        <v>80</v>
      </c>
      <c r="G591" t="s">
        <v>22</v>
      </c>
      <c r="H591" t="s">
        <v>112</v>
      </c>
      <c r="I591" t="s">
        <v>102</v>
      </c>
      <c r="J591" t="s">
        <v>25</v>
      </c>
      <c r="K591">
        <v>2</v>
      </c>
      <c r="L591" s="3">
        <v>37800</v>
      </c>
      <c r="M591" s="3">
        <v>24700</v>
      </c>
      <c r="N591">
        <v>0.15</v>
      </c>
      <c r="O591" t="s">
        <v>148</v>
      </c>
      <c r="P591" t="s">
        <v>72</v>
      </c>
      <c r="Q591" s="3">
        <f>Table13[[#This Row],[Quantity]]*Table13[[#This Row],[UnitPrice_NGN]]</f>
        <v>75600</v>
      </c>
      <c r="R591" s="9">
        <f>Table13[[#This Row],[GrossRevenue]]*(1-Table13[[#This Row],[DiscountRate]])</f>
        <v>64260</v>
      </c>
      <c r="S591" s="3">
        <f>Table13[[#This Row],[Quantity]]*Table13[[#This Row],[UnitCost_NGN]]</f>
        <v>49400</v>
      </c>
      <c r="T591" s="3">
        <f>Table13[[#This Row],[NetRevenue]]-Table13[[#This Row],[TotalCost]]</f>
        <v>14860</v>
      </c>
      <c r="U591" s="3"/>
    </row>
    <row r="592" spans="1:21" x14ac:dyDescent="0.25">
      <c r="A592" t="s">
        <v>986</v>
      </c>
      <c r="B592" s="20">
        <v>45683</v>
      </c>
      <c r="C592" t="s">
        <v>18</v>
      </c>
      <c r="D592" t="s">
        <v>136</v>
      </c>
      <c r="E592" t="s">
        <v>137</v>
      </c>
      <c r="F592" t="s">
        <v>122</v>
      </c>
      <c r="G592" t="s">
        <v>33</v>
      </c>
      <c r="H592" t="s">
        <v>23</v>
      </c>
      <c r="I592" t="s">
        <v>113</v>
      </c>
      <c r="J592" t="s">
        <v>36</v>
      </c>
      <c r="K592">
        <v>5</v>
      </c>
      <c r="L592" s="3">
        <v>144000</v>
      </c>
      <c r="M592" s="3">
        <v>115000</v>
      </c>
      <c r="N592">
        <v>0.15</v>
      </c>
      <c r="O592" t="s">
        <v>90</v>
      </c>
      <c r="P592" t="s">
        <v>48</v>
      </c>
      <c r="Q592" s="3">
        <f>Table13[[#This Row],[Quantity]]*Table13[[#This Row],[UnitPrice_NGN]]</f>
        <v>720000</v>
      </c>
      <c r="R592" s="9">
        <f>Table13[[#This Row],[GrossRevenue]]*(1-Table13[[#This Row],[DiscountRate]])</f>
        <v>612000</v>
      </c>
      <c r="S592" s="3">
        <f>Table13[[#This Row],[Quantity]]*Table13[[#This Row],[UnitCost_NGN]]</f>
        <v>575000</v>
      </c>
      <c r="T592" s="3">
        <f>Table13[[#This Row],[NetRevenue]]-Table13[[#This Row],[TotalCost]]</f>
        <v>37000</v>
      </c>
      <c r="U592" s="3"/>
    </row>
    <row r="593" spans="1:21" x14ac:dyDescent="0.25">
      <c r="A593" t="s">
        <v>987</v>
      </c>
      <c r="B593" s="20">
        <v>45962</v>
      </c>
      <c r="C593" t="s">
        <v>18</v>
      </c>
      <c r="D593" t="s">
        <v>19</v>
      </c>
      <c r="E593" t="s">
        <v>20</v>
      </c>
      <c r="F593" t="s">
        <v>21</v>
      </c>
      <c r="G593" t="s">
        <v>22</v>
      </c>
      <c r="H593" t="s">
        <v>34</v>
      </c>
      <c r="I593" t="s">
        <v>45</v>
      </c>
      <c r="J593" t="s">
        <v>46</v>
      </c>
      <c r="K593">
        <v>6</v>
      </c>
      <c r="L593" s="3">
        <v>16650</v>
      </c>
      <c r="M593" s="3">
        <v>13775</v>
      </c>
      <c r="N593">
        <v>0.05</v>
      </c>
      <c r="O593" t="s">
        <v>26</v>
      </c>
      <c r="P593" t="s">
        <v>133</v>
      </c>
      <c r="Q593" s="3">
        <f>Table13[[#This Row],[Quantity]]*Table13[[#This Row],[UnitPrice_NGN]]</f>
        <v>99900</v>
      </c>
      <c r="R593" s="9">
        <f>Table13[[#This Row],[GrossRevenue]]*(1-Table13[[#This Row],[DiscountRate]])</f>
        <v>94905</v>
      </c>
      <c r="S593" s="3">
        <f>Table13[[#This Row],[Quantity]]*Table13[[#This Row],[UnitCost_NGN]]</f>
        <v>82650</v>
      </c>
      <c r="T593" s="3">
        <f>Table13[[#This Row],[NetRevenue]]-Table13[[#This Row],[TotalCost]]</f>
        <v>12255</v>
      </c>
      <c r="U593" s="3"/>
    </row>
    <row r="594" spans="1:21" x14ac:dyDescent="0.25">
      <c r="A594" t="s">
        <v>988</v>
      </c>
      <c r="B594" s="20">
        <v>45952</v>
      </c>
      <c r="C594" t="s">
        <v>18</v>
      </c>
      <c r="D594" t="s">
        <v>136</v>
      </c>
      <c r="E594" t="s">
        <v>137</v>
      </c>
      <c r="F594" t="s">
        <v>122</v>
      </c>
      <c r="G594" t="s">
        <v>62</v>
      </c>
      <c r="H594" t="s">
        <v>34</v>
      </c>
      <c r="I594" t="s">
        <v>105</v>
      </c>
      <c r="J594" t="s">
        <v>71</v>
      </c>
      <c r="K594">
        <v>5</v>
      </c>
      <c r="L594" s="3">
        <v>175000</v>
      </c>
      <c r="M594" s="3">
        <v>114000</v>
      </c>
      <c r="N594">
        <v>0.15</v>
      </c>
      <c r="O594" t="s">
        <v>148</v>
      </c>
      <c r="P594" t="s">
        <v>133</v>
      </c>
      <c r="Q594" s="3">
        <f>Table13[[#This Row],[Quantity]]*Table13[[#This Row],[UnitPrice_NGN]]</f>
        <v>875000</v>
      </c>
      <c r="R594" s="9">
        <f>Table13[[#This Row],[GrossRevenue]]*(1-Table13[[#This Row],[DiscountRate]])</f>
        <v>743750</v>
      </c>
      <c r="S594" s="3">
        <f>Table13[[#This Row],[Quantity]]*Table13[[#This Row],[UnitCost_NGN]]</f>
        <v>570000</v>
      </c>
      <c r="T594" s="3">
        <f>Table13[[#This Row],[NetRevenue]]-Table13[[#This Row],[TotalCost]]</f>
        <v>173750</v>
      </c>
      <c r="U594" s="3"/>
    </row>
    <row r="595" spans="1:21" x14ac:dyDescent="0.25">
      <c r="A595" t="s">
        <v>989</v>
      </c>
      <c r="B595" s="20">
        <v>45870</v>
      </c>
      <c r="C595" t="s">
        <v>30</v>
      </c>
      <c r="D595" t="s">
        <v>157</v>
      </c>
      <c r="E595" t="s">
        <v>158</v>
      </c>
      <c r="F595" t="s">
        <v>21</v>
      </c>
      <c r="G595" t="s">
        <v>62</v>
      </c>
      <c r="H595" t="s">
        <v>23</v>
      </c>
      <c r="I595" t="s">
        <v>45</v>
      </c>
      <c r="J595" t="s">
        <v>46</v>
      </c>
      <c r="K595">
        <v>2</v>
      </c>
      <c r="L595" s="3">
        <v>16650</v>
      </c>
      <c r="M595" s="3">
        <v>14500</v>
      </c>
      <c r="N595">
        <v>0</v>
      </c>
      <c r="O595" t="s">
        <v>90</v>
      </c>
      <c r="P595" t="s">
        <v>48</v>
      </c>
      <c r="Q595" s="3">
        <f>Table13[[#This Row],[Quantity]]*Table13[[#This Row],[UnitPrice_NGN]]</f>
        <v>33300</v>
      </c>
      <c r="R595" s="9">
        <f>Table13[[#This Row],[GrossRevenue]]*(1-Table13[[#This Row],[DiscountRate]])</f>
        <v>33300</v>
      </c>
      <c r="S595" s="3">
        <f>Table13[[#This Row],[Quantity]]*Table13[[#This Row],[UnitCost_NGN]]</f>
        <v>29000</v>
      </c>
      <c r="T595" s="3">
        <f>Table13[[#This Row],[NetRevenue]]-Table13[[#This Row],[TotalCost]]</f>
        <v>4300</v>
      </c>
      <c r="U595" s="3"/>
    </row>
    <row r="596" spans="1:21" x14ac:dyDescent="0.25">
      <c r="A596" t="s">
        <v>990</v>
      </c>
      <c r="B596" s="20">
        <v>45981</v>
      </c>
      <c r="C596" t="s">
        <v>40</v>
      </c>
      <c r="D596" t="s">
        <v>60</v>
      </c>
      <c r="E596" t="s">
        <v>61</v>
      </c>
      <c r="F596" t="s">
        <v>43</v>
      </c>
      <c r="G596" t="s">
        <v>44</v>
      </c>
      <c r="H596" t="s">
        <v>96</v>
      </c>
      <c r="I596" t="s">
        <v>97</v>
      </c>
      <c r="J596" t="s">
        <v>56</v>
      </c>
      <c r="K596">
        <v>10</v>
      </c>
      <c r="L596" s="3">
        <v>112500</v>
      </c>
      <c r="M596" s="3">
        <v>85000</v>
      </c>
      <c r="N596">
        <v>0</v>
      </c>
      <c r="O596" t="s">
        <v>37</v>
      </c>
      <c r="P596" t="s">
        <v>133</v>
      </c>
      <c r="Q596" s="3">
        <f>Table13[[#This Row],[Quantity]]*Table13[[#This Row],[UnitPrice_NGN]]</f>
        <v>1125000</v>
      </c>
      <c r="R596" s="9">
        <f>Table13[[#This Row],[GrossRevenue]]*(1-Table13[[#This Row],[DiscountRate]])</f>
        <v>1125000</v>
      </c>
      <c r="S596" s="3">
        <f>Table13[[#This Row],[Quantity]]*Table13[[#This Row],[UnitCost_NGN]]</f>
        <v>850000</v>
      </c>
      <c r="T596" s="3">
        <f>Table13[[#This Row],[NetRevenue]]-Table13[[#This Row],[TotalCost]]</f>
        <v>275000</v>
      </c>
      <c r="U596" s="3"/>
    </row>
    <row r="597" spans="1:21" x14ac:dyDescent="0.25">
      <c r="A597" t="s">
        <v>991</v>
      </c>
      <c r="B597" s="20">
        <v>46013</v>
      </c>
      <c r="C597" t="s">
        <v>30</v>
      </c>
      <c r="D597" t="s">
        <v>31</v>
      </c>
      <c r="E597" t="s">
        <v>32</v>
      </c>
      <c r="F597" t="s">
        <v>21</v>
      </c>
      <c r="G597" t="s">
        <v>44</v>
      </c>
      <c r="H597" t="s">
        <v>34</v>
      </c>
      <c r="I597" t="s">
        <v>51</v>
      </c>
      <c r="J597" t="s">
        <v>36</v>
      </c>
      <c r="K597">
        <v>1</v>
      </c>
      <c r="L597" s="3">
        <v>252000</v>
      </c>
      <c r="M597" s="3">
        <v>210000</v>
      </c>
      <c r="N597">
        <v>0.05</v>
      </c>
      <c r="O597" t="s">
        <v>90</v>
      </c>
      <c r="P597" t="s">
        <v>72</v>
      </c>
      <c r="Q597" s="3">
        <f>Table13[[#This Row],[Quantity]]*Table13[[#This Row],[UnitPrice_NGN]]</f>
        <v>252000</v>
      </c>
      <c r="R597" s="9">
        <f>Table13[[#This Row],[GrossRevenue]]*(1-Table13[[#This Row],[DiscountRate]])</f>
        <v>239400</v>
      </c>
      <c r="S597" s="3">
        <f>Table13[[#This Row],[Quantity]]*Table13[[#This Row],[UnitCost_NGN]]</f>
        <v>210000</v>
      </c>
      <c r="T597" s="3">
        <f>Table13[[#This Row],[NetRevenue]]-Table13[[#This Row],[TotalCost]]</f>
        <v>29400</v>
      </c>
      <c r="U597" s="3"/>
    </row>
    <row r="598" spans="1:21" x14ac:dyDescent="0.25">
      <c r="A598" t="s">
        <v>993</v>
      </c>
      <c r="B598" s="20">
        <v>45970</v>
      </c>
      <c r="C598" t="s">
        <v>18</v>
      </c>
      <c r="D598" t="s">
        <v>41</v>
      </c>
      <c r="E598" t="s">
        <v>42</v>
      </c>
      <c r="F598" t="s">
        <v>43</v>
      </c>
      <c r="G598" t="s">
        <v>44</v>
      </c>
      <c r="H598" t="s">
        <v>112</v>
      </c>
      <c r="I598" t="s">
        <v>24</v>
      </c>
      <c r="J598" t="s">
        <v>25</v>
      </c>
      <c r="K598">
        <v>4</v>
      </c>
      <c r="L598" s="3">
        <v>22000</v>
      </c>
      <c r="M598" s="3">
        <v>13000</v>
      </c>
      <c r="N598">
        <v>0</v>
      </c>
      <c r="O598" t="s">
        <v>52</v>
      </c>
      <c r="P598" t="s">
        <v>27</v>
      </c>
      <c r="Q598" s="3">
        <f>Table13[[#This Row],[Quantity]]*Table13[[#This Row],[UnitPrice_NGN]]</f>
        <v>88000</v>
      </c>
      <c r="R598" s="9">
        <f>Table13[[#This Row],[GrossRevenue]]*(1-Table13[[#This Row],[DiscountRate]])</f>
        <v>88000</v>
      </c>
      <c r="S598" s="3">
        <f>Table13[[#This Row],[Quantity]]*Table13[[#This Row],[UnitCost_NGN]]</f>
        <v>52000</v>
      </c>
      <c r="T598" s="3">
        <f>Table13[[#This Row],[NetRevenue]]-Table13[[#This Row],[TotalCost]]</f>
        <v>36000</v>
      </c>
      <c r="U598" s="3"/>
    </row>
    <row r="599" spans="1:21" x14ac:dyDescent="0.25">
      <c r="A599" t="s">
        <v>994</v>
      </c>
      <c r="B599" s="20">
        <v>45718</v>
      </c>
      <c r="C599" t="s">
        <v>18</v>
      </c>
      <c r="D599" t="s">
        <v>41</v>
      </c>
      <c r="E599" t="s">
        <v>42</v>
      </c>
      <c r="F599" t="s">
        <v>43</v>
      </c>
      <c r="G599" t="s">
        <v>62</v>
      </c>
      <c r="H599" t="s">
        <v>23</v>
      </c>
      <c r="I599" t="s">
        <v>24</v>
      </c>
      <c r="J599" t="s">
        <v>25</v>
      </c>
      <c r="K599">
        <v>2</v>
      </c>
      <c r="L599" s="3">
        <v>19800</v>
      </c>
      <c r="M599" s="3">
        <v>13000</v>
      </c>
      <c r="N599">
        <v>0</v>
      </c>
      <c r="O599" t="s">
        <v>64</v>
      </c>
      <c r="P599" t="s">
        <v>133</v>
      </c>
      <c r="Q599" s="3">
        <f>Table13[[#This Row],[Quantity]]*Table13[[#This Row],[UnitPrice_NGN]]</f>
        <v>39600</v>
      </c>
      <c r="R599" s="9">
        <f>Table13[[#This Row],[GrossRevenue]]*(1-Table13[[#This Row],[DiscountRate]])</f>
        <v>39600</v>
      </c>
      <c r="S599" s="3">
        <f>Table13[[#This Row],[Quantity]]*Table13[[#This Row],[UnitCost_NGN]]</f>
        <v>26000</v>
      </c>
      <c r="T599" s="3">
        <f>Table13[[#This Row],[NetRevenue]]-Table13[[#This Row],[TotalCost]]</f>
        <v>13600</v>
      </c>
      <c r="U599" s="3"/>
    </row>
    <row r="600" spans="1:21" x14ac:dyDescent="0.25">
      <c r="A600" t="s">
        <v>995</v>
      </c>
      <c r="B600" s="20">
        <v>45715</v>
      </c>
      <c r="C600" t="s">
        <v>30</v>
      </c>
      <c r="D600" t="s">
        <v>120</v>
      </c>
      <c r="E600" t="s">
        <v>121</v>
      </c>
      <c r="F600" t="s">
        <v>122</v>
      </c>
      <c r="G600" t="s">
        <v>33</v>
      </c>
      <c r="H600" t="s">
        <v>112</v>
      </c>
      <c r="I600" t="s">
        <v>97</v>
      </c>
      <c r="J600" t="s">
        <v>56</v>
      </c>
      <c r="K600">
        <v>5</v>
      </c>
      <c r="L600" s="3">
        <v>125000</v>
      </c>
      <c r="M600" s="3">
        <v>80750</v>
      </c>
      <c r="N600">
        <v>0</v>
      </c>
      <c r="O600" t="s">
        <v>90</v>
      </c>
      <c r="P600" t="s">
        <v>48</v>
      </c>
      <c r="Q600" s="3">
        <f>Table13[[#This Row],[Quantity]]*Table13[[#This Row],[UnitPrice_NGN]]</f>
        <v>625000</v>
      </c>
      <c r="R600" s="9">
        <f>Table13[[#This Row],[GrossRevenue]]*(1-Table13[[#This Row],[DiscountRate]])</f>
        <v>625000</v>
      </c>
      <c r="S600" s="3">
        <f>Table13[[#This Row],[Quantity]]*Table13[[#This Row],[UnitCost_NGN]]</f>
        <v>403750</v>
      </c>
      <c r="T600" s="3">
        <f>Table13[[#This Row],[NetRevenue]]-Table13[[#This Row],[TotalCost]]</f>
        <v>221250</v>
      </c>
      <c r="U600" s="3"/>
    </row>
    <row r="601" spans="1:21" x14ac:dyDescent="0.25">
      <c r="A601" t="s">
        <v>996</v>
      </c>
      <c r="B601" s="20">
        <v>45765</v>
      </c>
      <c r="C601" t="s">
        <v>40</v>
      </c>
      <c r="D601" t="s">
        <v>120</v>
      </c>
      <c r="E601" t="s">
        <v>121</v>
      </c>
      <c r="F601" t="s">
        <v>122</v>
      </c>
      <c r="G601" t="s">
        <v>62</v>
      </c>
      <c r="H601" t="s">
        <v>23</v>
      </c>
      <c r="I601" t="s">
        <v>75</v>
      </c>
      <c r="J601" t="s">
        <v>36</v>
      </c>
      <c r="K601">
        <v>10</v>
      </c>
      <c r="L601" s="3">
        <v>162000</v>
      </c>
      <c r="M601" s="3">
        <v>130000</v>
      </c>
      <c r="N601">
        <v>0</v>
      </c>
      <c r="O601" t="s">
        <v>37</v>
      </c>
      <c r="P601" t="s">
        <v>72</v>
      </c>
      <c r="Q601" s="3">
        <f>Table13[[#This Row],[Quantity]]*Table13[[#This Row],[UnitPrice_NGN]]</f>
        <v>1620000</v>
      </c>
      <c r="R601" s="9">
        <f>Table13[[#This Row],[GrossRevenue]]*(1-Table13[[#This Row],[DiscountRate]])</f>
        <v>1620000</v>
      </c>
      <c r="S601" s="3">
        <f>Table13[[#This Row],[Quantity]]*Table13[[#This Row],[UnitCost_NGN]]</f>
        <v>1300000</v>
      </c>
      <c r="T601" s="3">
        <f>Table13[[#This Row],[NetRevenue]]-Table13[[#This Row],[TotalCost]]</f>
        <v>320000</v>
      </c>
      <c r="U601" s="3"/>
    </row>
  </sheetData>
  <conditionalFormatting sqref="A1:A1048576">
    <cfRule type="duplicateValues" dxfId="1"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1"/>
  <sheetViews>
    <sheetView tabSelected="1" topLeftCell="D1" workbookViewId="0">
      <pane ySplit="1" topLeftCell="A83" activePane="bottomLeft" state="frozen"/>
      <selection pane="bottomLeft" activeCell="K95" sqref="K95"/>
    </sheetView>
  </sheetViews>
  <sheetFormatPr defaultRowHeight="15" x14ac:dyDescent="0.25"/>
  <cols>
    <col min="1" max="1" width="12" customWidth="1"/>
    <col min="2" max="2" width="12.42578125" customWidth="1"/>
    <col min="3" max="4" width="16" customWidth="1"/>
    <col min="5" max="7" width="15" customWidth="1"/>
    <col min="8" max="8" width="18.140625" customWidth="1"/>
    <col min="9" max="9" width="16" customWidth="1"/>
    <col min="10" max="10" width="17" customWidth="1"/>
    <col min="11" max="11" width="12" customWidth="1"/>
    <col min="12" max="12" width="16.7109375" customWidth="1"/>
    <col min="13" max="13" width="16.140625" customWidth="1"/>
    <col min="14" max="14" width="14.85546875" customWidth="1"/>
    <col min="15" max="15" width="12" customWidth="1"/>
    <col min="16" max="16" width="13.7109375" customWidth="1"/>
  </cols>
  <sheetData>
    <row r="1" spans="1:1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s">
        <v>20</v>
      </c>
      <c r="F2" t="s">
        <v>21</v>
      </c>
      <c r="G2" t="s">
        <v>22</v>
      </c>
      <c r="H2" t="s">
        <v>23</v>
      </c>
      <c r="I2" t="s">
        <v>24</v>
      </c>
      <c r="J2" t="s">
        <v>25</v>
      </c>
      <c r="K2">
        <v>1</v>
      </c>
      <c r="L2">
        <v>22000</v>
      </c>
      <c r="M2">
        <v>13000</v>
      </c>
      <c r="N2">
        <v>0</v>
      </c>
      <c r="O2" t="s">
        <v>26</v>
      </c>
      <c r="P2" t="s">
        <v>27</v>
      </c>
    </row>
    <row r="3" spans="1:16" x14ac:dyDescent="0.25">
      <c r="A3" t="s">
        <v>28</v>
      </c>
      <c r="B3" t="s">
        <v>29</v>
      </c>
      <c r="C3" t="s">
        <v>30</v>
      </c>
      <c r="D3" t="s">
        <v>31</v>
      </c>
      <c r="E3" t="s">
        <v>32</v>
      </c>
      <c r="F3" t="s">
        <v>21</v>
      </c>
      <c r="G3" t="s">
        <v>33</v>
      </c>
      <c r="H3" t="s">
        <v>34</v>
      </c>
      <c r="I3" t="s">
        <v>35</v>
      </c>
      <c r="J3" t="s">
        <v>36</v>
      </c>
      <c r="K3">
        <v>1</v>
      </c>
      <c r="L3">
        <v>427500</v>
      </c>
      <c r="M3">
        <v>332500</v>
      </c>
      <c r="N3">
        <v>0.1</v>
      </c>
      <c r="O3" t="s">
        <v>37</v>
      </c>
      <c r="P3" t="s">
        <v>27</v>
      </c>
    </row>
    <row r="4" spans="1:16" x14ac:dyDescent="0.25">
      <c r="A4" t="s">
        <v>38</v>
      </c>
      <c r="B4" t="s">
        <v>39</v>
      </c>
      <c r="C4" t="s">
        <v>40</v>
      </c>
      <c r="D4" t="s">
        <v>41</v>
      </c>
      <c r="E4" t="s">
        <v>42</v>
      </c>
      <c r="F4" t="s">
        <v>43</v>
      </c>
      <c r="G4" t="s">
        <v>44</v>
      </c>
      <c r="H4" t="s">
        <v>34</v>
      </c>
      <c r="I4" t="s">
        <v>45</v>
      </c>
      <c r="J4" t="s">
        <v>46</v>
      </c>
      <c r="K4">
        <v>6</v>
      </c>
      <c r="L4">
        <v>16650</v>
      </c>
      <c r="M4">
        <v>14500</v>
      </c>
      <c r="N4">
        <v>0.15</v>
      </c>
      <c r="O4" t="s">
        <v>47</v>
      </c>
      <c r="P4" t="s">
        <v>48</v>
      </c>
    </row>
    <row r="5" spans="1:16" x14ac:dyDescent="0.25">
      <c r="A5" t="s">
        <v>49</v>
      </c>
      <c r="B5" t="s">
        <v>50</v>
      </c>
      <c r="C5" t="s">
        <v>30</v>
      </c>
      <c r="D5" t="s">
        <v>19</v>
      </c>
      <c r="E5" t="s">
        <v>20</v>
      </c>
      <c r="F5" t="s">
        <v>21</v>
      </c>
      <c r="G5" t="s">
        <v>33</v>
      </c>
      <c r="H5" t="s">
        <v>23</v>
      </c>
      <c r="I5" t="s">
        <v>51</v>
      </c>
      <c r="J5" t="s">
        <v>36</v>
      </c>
      <c r="K5">
        <v>3</v>
      </c>
      <c r="L5">
        <v>280000</v>
      </c>
      <c r="M5">
        <v>210000</v>
      </c>
      <c r="N5">
        <v>0.1</v>
      </c>
      <c r="O5" t="s">
        <v>52</v>
      </c>
      <c r="P5" t="s">
        <v>48</v>
      </c>
    </row>
    <row r="6" spans="1:16" x14ac:dyDescent="0.25">
      <c r="A6" t="s">
        <v>53</v>
      </c>
      <c r="B6" t="s">
        <v>54</v>
      </c>
      <c r="C6" t="s">
        <v>18</v>
      </c>
      <c r="D6" t="s">
        <v>19</v>
      </c>
      <c r="E6" t="s">
        <v>20</v>
      </c>
      <c r="F6" t="s">
        <v>21</v>
      </c>
      <c r="G6" t="s">
        <v>22</v>
      </c>
      <c r="H6" t="s">
        <v>34</v>
      </c>
      <c r="I6" t="s">
        <v>55</v>
      </c>
      <c r="J6" t="s">
        <v>56</v>
      </c>
      <c r="K6">
        <v>4</v>
      </c>
      <c r="L6">
        <v>52800</v>
      </c>
      <c r="M6">
        <v>30000</v>
      </c>
      <c r="N6">
        <v>0.1</v>
      </c>
      <c r="O6" t="s">
        <v>57</v>
      </c>
      <c r="P6" t="s">
        <v>27</v>
      </c>
    </row>
    <row r="7" spans="1:16" x14ac:dyDescent="0.25">
      <c r="A7" t="s">
        <v>58</v>
      </c>
      <c r="B7" t="s">
        <v>59</v>
      </c>
      <c r="C7" t="s">
        <v>18</v>
      </c>
      <c r="D7" t="s">
        <v>60</v>
      </c>
      <c r="E7" t="s">
        <v>61</v>
      </c>
      <c r="F7" t="s">
        <v>43</v>
      </c>
      <c r="G7" t="s">
        <v>62</v>
      </c>
      <c r="H7" t="s">
        <v>63</v>
      </c>
      <c r="I7" t="s">
        <v>51</v>
      </c>
      <c r="J7" t="s">
        <v>36</v>
      </c>
      <c r="K7">
        <v>8</v>
      </c>
      <c r="L7">
        <v>280000</v>
      </c>
      <c r="M7">
        <v>210000</v>
      </c>
      <c r="N7">
        <v>0.05</v>
      </c>
      <c r="O7" t="s">
        <v>64</v>
      </c>
      <c r="P7" t="s">
        <v>48</v>
      </c>
    </row>
    <row r="8" spans="1:16" x14ac:dyDescent="0.25">
      <c r="A8" t="s">
        <v>65</v>
      </c>
      <c r="B8" t="s">
        <v>59</v>
      </c>
      <c r="C8" t="s">
        <v>30</v>
      </c>
      <c r="D8" t="s">
        <v>41</v>
      </c>
      <c r="E8" t="s">
        <v>42</v>
      </c>
      <c r="F8" t="s">
        <v>43</v>
      </c>
      <c r="G8" t="s">
        <v>44</v>
      </c>
      <c r="H8" t="s">
        <v>34</v>
      </c>
      <c r="I8" t="s">
        <v>24</v>
      </c>
      <c r="J8" t="s">
        <v>25</v>
      </c>
      <c r="K8">
        <v>5</v>
      </c>
      <c r="L8">
        <v>23100</v>
      </c>
      <c r="M8">
        <v>12350</v>
      </c>
      <c r="N8">
        <v>0.1</v>
      </c>
      <c r="O8" t="s">
        <v>37</v>
      </c>
      <c r="P8" t="s">
        <v>48</v>
      </c>
    </row>
    <row r="9" spans="1:16" x14ac:dyDescent="0.25">
      <c r="A9" t="s">
        <v>66</v>
      </c>
      <c r="B9" t="s">
        <v>67</v>
      </c>
      <c r="C9" t="s">
        <v>18</v>
      </c>
      <c r="D9" t="s">
        <v>41</v>
      </c>
      <c r="E9" t="s">
        <v>42</v>
      </c>
      <c r="F9" t="s">
        <v>43</v>
      </c>
      <c r="G9" t="s">
        <v>22</v>
      </c>
      <c r="H9" t="s">
        <v>63</v>
      </c>
      <c r="I9" t="s">
        <v>55</v>
      </c>
      <c r="J9" t="s">
        <v>56</v>
      </c>
      <c r="K9">
        <v>15</v>
      </c>
      <c r="L9">
        <v>50400</v>
      </c>
      <c r="M9">
        <v>30000</v>
      </c>
      <c r="N9">
        <v>0.15</v>
      </c>
      <c r="O9" t="s">
        <v>26</v>
      </c>
      <c r="P9" t="s">
        <v>48</v>
      </c>
    </row>
    <row r="10" spans="1:16" x14ac:dyDescent="0.25">
      <c r="A10" t="s">
        <v>68</v>
      </c>
      <c r="B10" t="s">
        <v>69</v>
      </c>
      <c r="C10" t="s">
        <v>40</v>
      </c>
      <c r="D10" t="s">
        <v>19</v>
      </c>
      <c r="E10" t="s">
        <v>20</v>
      </c>
      <c r="F10" t="s">
        <v>21</v>
      </c>
      <c r="G10" t="s">
        <v>33</v>
      </c>
      <c r="H10" t="s">
        <v>34</v>
      </c>
      <c r="I10" t="s">
        <v>70</v>
      </c>
      <c r="J10" t="s">
        <v>71</v>
      </c>
      <c r="K10">
        <v>2</v>
      </c>
      <c r="L10">
        <v>95000</v>
      </c>
      <c r="M10">
        <v>62000</v>
      </c>
      <c r="N10">
        <v>0</v>
      </c>
      <c r="O10" t="s">
        <v>57</v>
      </c>
      <c r="P10" t="s">
        <v>72</v>
      </c>
    </row>
    <row r="11" spans="1:16" x14ac:dyDescent="0.25">
      <c r="A11" t="s">
        <v>73</v>
      </c>
      <c r="B11" t="s">
        <v>74</v>
      </c>
      <c r="C11" t="s">
        <v>30</v>
      </c>
      <c r="D11" t="s">
        <v>60</v>
      </c>
      <c r="E11" t="s">
        <v>61</v>
      </c>
      <c r="F11" t="s">
        <v>43</v>
      </c>
      <c r="G11" t="s">
        <v>33</v>
      </c>
      <c r="H11" t="s">
        <v>63</v>
      </c>
      <c r="I11" t="s">
        <v>75</v>
      </c>
      <c r="J11" t="s">
        <v>36</v>
      </c>
      <c r="K11">
        <v>6</v>
      </c>
      <c r="L11">
        <v>180000</v>
      </c>
      <c r="M11">
        <v>130000</v>
      </c>
      <c r="N11">
        <v>0.15</v>
      </c>
      <c r="O11" t="s">
        <v>64</v>
      </c>
      <c r="P11" t="s">
        <v>72</v>
      </c>
    </row>
    <row r="12" spans="1:16" x14ac:dyDescent="0.25">
      <c r="A12" t="s">
        <v>76</v>
      </c>
      <c r="B12" t="s">
        <v>77</v>
      </c>
      <c r="C12" t="s">
        <v>18</v>
      </c>
      <c r="D12" t="s">
        <v>78</v>
      </c>
      <c r="E12" t="s">
        <v>79</v>
      </c>
      <c r="F12" t="s">
        <v>80</v>
      </c>
      <c r="G12" t="s">
        <v>33</v>
      </c>
      <c r="H12" t="s">
        <v>23</v>
      </c>
      <c r="I12" t="s">
        <v>75</v>
      </c>
      <c r="J12" t="s">
        <v>36</v>
      </c>
      <c r="K12">
        <v>3</v>
      </c>
      <c r="L12">
        <v>198000</v>
      </c>
      <c r="M12">
        <v>123500</v>
      </c>
      <c r="N12">
        <v>0</v>
      </c>
      <c r="O12" t="s">
        <v>52</v>
      </c>
      <c r="P12" t="s">
        <v>27</v>
      </c>
    </row>
    <row r="13" spans="1:16" x14ac:dyDescent="0.25">
      <c r="A13" t="s">
        <v>81</v>
      </c>
      <c r="B13" t="s">
        <v>82</v>
      </c>
      <c r="C13" t="s">
        <v>30</v>
      </c>
      <c r="D13" t="s">
        <v>83</v>
      </c>
      <c r="E13" t="s">
        <v>84</v>
      </c>
      <c r="F13" t="s">
        <v>85</v>
      </c>
      <c r="G13" t="s">
        <v>22</v>
      </c>
      <c r="H13" t="s">
        <v>23</v>
      </c>
      <c r="I13" t="s">
        <v>55</v>
      </c>
      <c r="J13" t="s">
        <v>56</v>
      </c>
      <c r="K13">
        <v>4</v>
      </c>
      <c r="L13">
        <v>48000</v>
      </c>
      <c r="M13">
        <v>30000</v>
      </c>
      <c r="N13">
        <v>0.1</v>
      </c>
      <c r="O13" t="s">
        <v>57</v>
      </c>
      <c r="P13" t="s">
        <v>27</v>
      </c>
    </row>
    <row r="14" spans="1:16" x14ac:dyDescent="0.25">
      <c r="A14" t="s">
        <v>86</v>
      </c>
      <c r="B14" t="s">
        <v>87</v>
      </c>
      <c r="C14" t="s">
        <v>30</v>
      </c>
      <c r="D14" t="s">
        <v>88</v>
      </c>
      <c r="E14" t="s">
        <v>89</v>
      </c>
      <c r="F14" t="s">
        <v>43</v>
      </c>
      <c r="G14" t="s">
        <v>62</v>
      </c>
      <c r="H14" t="s">
        <v>23</v>
      </c>
      <c r="I14" t="s">
        <v>24</v>
      </c>
      <c r="J14" t="s">
        <v>25</v>
      </c>
      <c r="K14">
        <v>1</v>
      </c>
      <c r="L14">
        <v>22000</v>
      </c>
      <c r="M14">
        <v>13000</v>
      </c>
      <c r="N14">
        <v>0.05</v>
      </c>
      <c r="O14" t="s">
        <v>90</v>
      </c>
      <c r="P14" t="s">
        <v>27</v>
      </c>
    </row>
    <row r="15" spans="1:16" x14ac:dyDescent="0.25">
      <c r="A15" t="s">
        <v>91</v>
      </c>
      <c r="B15" t="s">
        <v>92</v>
      </c>
      <c r="C15" t="s">
        <v>30</v>
      </c>
      <c r="D15" t="s">
        <v>19</v>
      </c>
      <c r="E15" t="s">
        <v>20</v>
      </c>
      <c r="F15" t="s">
        <v>21</v>
      </c>
      <c r="G15" t="s">
        <v>22</v>
      </c>
      <c r="H15" t="s">
        <v>23</v>
      </c>
      <c r="I15" t="s">
        <v>93</v>
      </c>
      <c r="J15" t="s">
        <v>46</v>
      </c>
      <c r="K15">
        <v>8</v>
      </c>
      <c r="L15">
        <v>95000</v>
      </c>
      <c r="M15">
        <v>82000</v>
      </c>
      <c r="N15">
        <v>0</v>
      </c>
      <c r="O15" t="s">
        <v>47</v>
      </c>
      <c r="P15" t="s">
        <v>48</v>
      </c>
    </row>
    <row r="16" spans="1:16" x14ac:dyDescent="0.25">
      <c r="A16" t="s">
        <v>94</v>
      </c>
      <c r="B16" t="s">
        <v>95</v>
      </c>
      <c r="C16" t="s">
        <v>30</v>
      </c>
      <c r="D16" t="s">
        <v>31</v>
      </c>
      <c r="E16" t="s">
        <v>32</v>
      </c>
      <c r="F16" t="s">
        <v>21</v>
      </c>
      <c r="G16" t="s">
        <v>22</v>
      </c>
      <c r="H16" t="s">
        <v>96</v>
      </c>
      <c r="I16" t="s">
        <v>97</v>
      </c>
      <c r="J16" t="s">
        <v>56</v>
      </c>
      <c r="K16">
        <v>1</v>
      </c>
      <c r="L16">
        <v>125000</v>
      </c>
      <c r="M16">
        <v>85000</v>
      </c>
      <c r="N16">
        <v>0</v>
      </c>
      <c r="O16" t="s">
        <v>37</v>
      </c>
      <c r="P16" t="s">
        <v>48</v>
      </c>
    </row>
    <row r="17" spans="1:16" x14ac:dyDescent="0.25">
      <c r="A17" t="s">
        <v>98</v>
      </c>
      <c r="B17" t="s">
        <v>99</v>
      </c>
      <c r="C17" t="s">
        <v>30</v>
      </c>
      <c r="D17" t="s">
        <v>78</v>
      </c>
      <c r="E17" t="s">
        <v>79</v>
      </c>
      <c r="F17" t="s">
        <v>80</v>
      </c>
      <c r="G17" t="s">
        <v>33</v>
      </c>
      <c r="H17" t="s">
        <v>34</v>
      </c>
      <c r="I17" t="s">
        <v>51</v>
      </c>
      <c r="J17" t="s">
        <v>36</v>
      </c>
      <c r="K17">
        <v>6</v>
      </c>
      <c r="L17">
        <v>266000</v>
      </c>
      <c r="M17">
        <v>220500</v>
      </c>
      <c r="N17">
        <v>0.1</v>
      </c>
      <c r="O17" t="s">
        <v>64</v>
      </c>
      <c r="P17" t="s">
        <v>48</v>
      </c>
    </row>
    <row r="18" spans="1:16" x14ac:dyDescent="0.25">
      <c r="A18" t="s">
        <v>100</v>
      </c>
      <c r="B18" t="s">
        <v>101</v>
      </c>
      <c r="C18" t="s">
        <v>18</v>
      </c>
      <c r="D18" t="s">
        <v>41</v>
      </c>
      <c r="E18" t="s">
        <v>42</v>
      </c>
      <c r="F18" t="s">
        <v>43</v>
      </c>
      <c r="G18" t="s">
        <v>44</v>
      </c>
      <c r="H18" t="s">
        <v>34</v>
      </c>
      <c r="I18" t="s">
        <v>102</v>
      </c>
      <c r="J18" t="s">
        <v>25</v>
      </c>
      <c r="K18">
        <v>3</v>
      </c>
      <c r="L18">
        <v>44100</v>
      </c>
      <c r="M18">
        <v>26000</v>
      </c>
      <c r="N18">
        <v>0.05</v>
      </c>
      <c r="O18" t="s">
        <v>52</v>
      </c>
      <c r="P18" t="s">
        <v>72</v>
      </c>
    </row>
    <row r="19" spans="1:16" x14ac:dyDescent="0.25">
      <c r="A19" t="s">
        <v>103</v>
      </c>
      <c r="B19" t="s">
        <v>104</v>
      </c>
      <c r="C19" t="s">
        <v>30</v>
      </c>
      <c r="D19" t="s">
        <v>31</v>
      </c>
      <c r="E19" t="s">
        <v>32</v>
      </c>
      <c r="F19" t="s">
        <v>21</v>
      </c>
      <c r="G19" t="s">
        <v>22</v>
      </c>
      <c r="H19" t="s">
        <v>34</v>
      </c>
      <c r="I19" t="s">
        <v>105</v>
      </c>
      <c r="J19" t="s">
        <v>71</v>
      </c>
      <c r="K19">
        <v>4</v>
      </c>
      <c r="L19">
        <v>166250</v>
      </c>
      <c r="M19">
        <v>120000</v>
      </c>
      <c r="N19">
        <v>0</v>
      </c>
      <c r="O19" t="s">
        <v>52</v>
      </c>
      <c r="P19" t="s">
        <v>27</v>
      </c>
    </row>
    <row r="20" spans="1:16" x14ac:dyDescent="0.25">
      <c r="A20" t="s">
        <v>106</v>
      </c>
      <c r="B20" t="s">
        <v>107</v>
      </c>
      <c r="C20" t="s">
        <v>30</v>
      </c>
      <c r="D20" t="s">
        <v>88</v>
      </c>
      <c r="E20" t="s">
        <v>89</v>
      </c>
      <c r="F20" t="s">
        <v>43</v>
      </c>
      <c r="G20" t="s">
        <v>44</v>
      </c>
      <c r="H20" t="s">
        <v>23</v>
      </c>
      <c r="I20" t="s">
        <v>35</v>
      </c>
      <c r="J20" t="s">
        <v>36</v>
      </c>
      <c r="K20">
        <v>1</v>
      </c>
      <c r="L20">
        <v>427500</v>
      </c>
      <c r="M20">
        <v>350000</v>
      </c>
      <c r="N20">
        <v>0.15</v>
      </c>
      <c r="O20" t="s">
        <v>37</v>
      </c>
      <c r="P20" t="s">
        <v>48</v>
      </c>
    </row>
    <row r="21" spans="1:16" x14ac:dyDescent="0.25">
      <c r="A21" t="s">
        <v>108</v>
      </c>
      <c r="B21" t="s">
        <v>109</v>
      </c>
      <c r="C21" t="s">
        <v>40</v>
      </c>
      <c r="D21" t="s">
        <v>110</v>
      </c>
      <c r="E21" t="s">
        <v>111</v>
      </c>
      <c r="F21" t="s">
        <v>85</v>
      </c>
      <c r="G21" t="s">
        <v>33</v>
      </c>
      <c r="H21" t="s">
        <v>112</v>
      </c>
      <c r="I21" t="s">
        <v>113</v>
      </c>
      <c r="J21" t="s">
        <v>36</v>
      </c>
      <c r="K21">
        <v>6</v>
      </c>
      <c r="L21">
        <v>152000</v>
      </c>
      <c r="M21">
        <v>109250</v>
      </c>
      <c r="N21">
        <v>0</v>
      </c>
      <c r="O21" t="s">
        <v>37</v>
      </c>
      <c r="P21" t="s">
        <v>72</v>
      </c>
    </row>
    <row r="22" spans="1:16" x14ac:dyDescent="0.25">
      <c r="A22" t="s">
        <v>114</v>
      </c>
      <c r="B22" t="s">
        <v>115</v>
      </c>
      <c r="C22" t="s">
        <v>40</v>
      </c>
      <c r="D22" t="s">
        <v>31</v>
      </c>
      <c r="E22" t="s">
        <v>32</v>
      </c>
      <c r="F22" t="s">
        <v>21</v>
      </c>
      <c r="G22" t="s">
        <v>22</v>
      </c>
      <c r="H22" t="s">
        <v>34</v>
      </c>
      <c r="I22" t="s">
        <v>102</v>
      </c>
      <c r="J22" t="s">
        <v>25</v>
      </c>
      <c r="K22">
        <v>5</v>
      </c>
      <c r="L22">
        <v>44100</v>
      </c>
      <c r="M22">
        <v>24700</v>
      </c>
      <c r="N22">
        <v>0</v>
      </c>
      <c r="O22" t="s">
        <v>64</v>
      </c>
      <c r="P22" t="s">
        <v>27</v>
      </c>
    </row>
    <row r="23" spans="1:16" x14ac:dyDescent="0.25">
      <c r="A23" t="s">
        <v>116</v>
      </c>
      <c r="B23" t="s">
        <v>117</v>
      </c>
      <c r="C23" t="s">
        <v>18</v>
      </c>
      <c r="D23" t="s">
        <v>78</v>
      </c>
      <c r="E23" t="s">
        <v>79</v>
      </c>
      <c r="F23" t="s">
        <v>80</v>
      </c>
      <c r="G23" t="s">
        <v>33</v>
      </c>
      <c r="H23" t="s">
        <v>23</v>
      </c>
      <c r="I23" t="s">
        <v>113</v>
      </c>
      <c r="J23" t="s">
        <v>36</v>
      </c>
      <c r="K23">
        <v>3</v>
      </c>
      <c r="L23">
        <v>160000</v>
      </c>
      <c r="M23">
        <v>115000</v>
      </c>
      <c r="N23">
        <v>0</v>
      </c>
      <c r="O23" t="s">
        <v>52</v>
      </c>
      <c r="P23" t="s">
        <v>48</v>
      </c>
    </row>
    <row r="24" spans="1:16" x14ac:dyDescent="0.25">
      <c r="A24" t="s">
        <v>118</v>
      </c>
      <c r="B24" t="s">
        <v>119</v>
      </c>
      <c r="C24" t="s">
        <v>40</v>
      </c>
      <c r="D24" t="s">
        <v>120</v>
      </c>
      <c r="E24" t="s">
        <v>121</v>
      </c>
      <c r="F24" t="s">
        <v>122</v>
      </c>
      <c r="G24" t="s">
        <v>33</v>
      </c>
      <c r="H24" t="s">
        <v>112</v>
      </c>
      <c r="I24" t="s">
        <v>35</v>
      </c>
      <c r="J24" t="s">
        <v>36</v>
      </c>
      <c r="K24">
        <v>15</v>
      </c>
      <c r="L24">
        <v>495000</v>
      </c>
      <c r="M24">
        <v>332500</v>
      </c>
      <c r="N24">
        <v>0</v>
      </c>
      <c r="O24" t="s">
        <v>64</v>
      </c>
      <c r="P24" t="s">
        <v>48</v>
      </c>
    </row>
    <row r="25" spans="1:16" x14ac:dyDescent="0.25">
      <c r="A25" t="s">
        <v>123</v>
      </c>
      <c r="B25" t="s">
        <v>124</v>
      </c>
      <c r="C25" t="s">
        <v>40</v>
      </c>
      <c r="D25" t="s">
        <v>31</v>
      </c>
      <c r="E25" t="s">
        <v>32</v>
      </c>
      <c r="F25" t="s">
        <v>21</v>
      </c>
      <c r="G25" t="s">
        <v>33</v>
      </c>
      <c r="H25" t="s">
        <v>34</v>
      </c>
      <c r="I25" t="s">
        <v>55</v>
      </c>
      <c r="J25" t="s">
        <v>56</v>
      </c>
      <c r="K25">
        <v>1</v>
      </c>
      <c r="L25">
        <v>43200</v>
      </c>
      <c r="M25">
        <v>31500</v>
      </c>
      <c r="N25">
        <v>0</v>
      </c>
      <c r="O25" t="s">
        <v>64</v>
      </c>
      <c r="P25" t="s">
        <v>48</v>
      </c>
    </row>
    <row r="26" spans="1:16" x14ac:dyDescent="0.25">
      <c r="A26" t="s">
        <v>125</v>
      </c>
      <c r="B26" t="s">
        <v>126</v>
      </c>
      <c r="C26" t="s">
        <v>18</v>
      </c>
      <c r="D26" t="s">
        <v>60</v>
      </c>
      <c r="E26" t="s">
        <v>61</v>
      </c>
      <c r="F26" t="s">
        <v>43</v>
      </c>
      <c r="G26" t="s">
        <v>33</v>
      </c>
      <c r="H26" t="s">
        <v>23</v>
      </c>
      <c r="I26" t="s">
        <v>70</v>
      </c>
      <c r="J26" t="s">
        <v>71</v>
      </c>
      <c r="K26">
        <v>12</v>
      </c>
      <c r="L26">
        <v>95000</v>
      </c>
      <c r="M26">
        <v>58900</v>
      </c>
      <c r="N26">
        <v>0.15</v>
      </c>
      <c r="O26" t="s">
        <v>90</v>
      </c>
      <c r="P26" t="s">
        <v>48</v>
      </c>
    </row>
    <row r="27" spans="1:16" x14ac:dyDescent="0.25">
      <c r="A27" t="s">
        <v>127</v>
      </c>
      <c r="B27" t="s">
        <v>128</v>
      </c>
      <c r="C27" t="s">
        <v>18</v>
      </c>
      <c r="D27" t="s">
        <v>78</v>
      </c>
      <c r="E27" t="s">
        <v>79</v>
      </c>
      <c r="F27" t="s">
        <v>80</v>
      </c>
      <c r="G27" t="s">
        <v>33</v>
      </c>
      <c r="H27" t="s">
        <v>96</v>
      </c>
      <c r="I27" t="s">
        <v>35</v>
      </c>
      <c r="J27" t="s">
        <v>36</v>
      </c>
      <c r="K27">
        <v>1</v>
      </c>
      <c r="L27">
        <v>427500</v>
      </c>
      <c r="M27">
        <v>332500</v>
      </c>
      <c r="N27">
        <v>0.1</v>
      </c>
      <c r="O27" t="s">
        <v>64</v>
      </c>
      <c r="P27" t="s">
        <v>27</v>
      </c>
    </row>
    <row r="28" spans="1:16" x14ac:dyDescent="0.25">
      <c r="A28" t="s">
        <v>129</v>
      </c>
      <c r="B28" t="s">
        <v>130</v>
      </c>
      <c r="C28" t="s">
        <v>30</v>
      </c>
      <c r="D28" t="s">
        <v>131</v>
      </c>
      <c r="E28" t="s">
        <v>132</v>
      </c>
      <c r="F28" t="s">
        <v>80</v>
      </c>
      <c r="G28" t="s">
        <v>62</v>
      </c>
      <c r="H28" t="s">
        <v>63</v>
      </c>
      <c r="I28" t="s">
        <v>45</v>
      </c>
      <c r="J28" t="s">
        <v>46</v>
      </c>
      <c r="K28">
        <v>1</v>
      </c>
      <c r="L28">
        <v>16650</v>
      </c>
      <c r="M28">
        <v>15225</v>
      </c>
      <c r="N28">
        <v>0.15</v>
      </c>
      <c r="O28" t="s">
        <v>64</v>
      </c>
      <c r="P28" t="s">
        <v>133</v>
      </c>
    </row>
    <row r="29" spans="1:16" x14ac:dyDescent="0.25">
      <c r="A29" t="s">
        <v>134</v>
      </c>
      <c r="B29" t="s">
        <v>135</v>
      </c>
      <c r="C29" t="s">
        <v>40</v>
      </c>
      <c r="D29" t="s">
        <v>136</v>
      </c>
      <c r="E29" t="s">
        <v>137</v>
      </c>
      <c r="F29" t="s">
        <v>122</v>
      </c>
      <c r="G29" t="s">
        <v>33</v>
      </c>
      <c r="H29" t="s">
        <v>63</v>
      </c>
      <c r="I29" t="s">
        <v>24</v>
      </c>
      <c r="J29" t="s">
        <v>25</v>
      </c>
      <c r="K29">
        <v>2</v>
      </c>
      <c r="L29">
        <v>22000</v>
      </c>
      <c r="M29">
        <v>13650</v>
      </c>
      <c r="N29">
        <v>0</v>
      </c>
      <c r="O29" t="s">
        <v>52</v>
      </c>
      <c r="P29" t="s">
        <v>27</v>
      </c>
    </row>
    <row r="30" spans="1:16" x14ac:dyDescent="0.25">
      <c r="A30" t="s">
        <v>138</v>
      </c>
      <c r="B30" t="s">
        <v>139</v>
      </c>
      <c r="C30" t="s">
        <v>30</v>
      </c>
      <c r="D30" t="s">
        <v>110</v>
      </c>
      <c r="E30" t="s">
        <v>111</v>
      </c>
      <c r="F30" t="s">
        <v>85</v>
      </c>
      <c r="G30" t="s">
        <v>62</v>
      </c>
      <c r="H30" t="s">
        <v>34</v>
      </c>
      <c r="I30" t="s">
        <v>35</v>
      </c>
      <c r="J30" t="s">
        <v>36</v>
      </c>
      <c r="K30">
        <v>4</v>
      </c>
      <c r="L30">
        <v>450000</v>
      </c>
      <c r="M30">
        <v>332500</v>
      </c>
      <c r="N30">
        <v>0</v>
      </c>
      <c r="O30" t="s">
        <v>47</v>
      </c>
      <c r="P30" t="s">
        <v>48</v>
      </c>
    </row>
    <row r="31" spans="1:16" x14ac:dyDescent="0.25">
      <c r="A31" t="s">
        <v>140</v>
      </c>
      <c r="B31" t="s">
        <v>141</v>
      </c>
      <c r="C31" t="s">
        <v>30</v>
      </c>
      <c r="D31" t="s">
        <v>60</v>
      </c>
      <c r="E31" t="s">
        <v>61</v>
      </c>
      <c r="F31" t="s">
        <v>43</v>
      </c>
      <c r="G31" t="s">
        <v>22</v>
      </c>
      <c r="H31" t="s">
        <v>23</v>
      </c>
      <c r="I31" t="s">
        <v>51</v>
      </c>
      <c r="J31" t="s">
        <v>36</v>
      </c>
      <c r="K31">
        <v>3</v>
      </c>
      <c r="L31">
        <v>266000</v>
      </c>
      <c r="M31">
        <v>220500</v>
      </c>
      <c r="N31">
        <v>0.1</v>
      </c>
      <c r="O31" t="s">
        <v>57</v>
      </c>
      <c r="P31" t="s">
        <v>48</v>
      </c>
    </row>
    <row r="32" spans="1:16" x14ac:dyDescent="0.25">
      <c r="A32" t="s">
        <v>142</v>
      </c>
      <c r="B32" t="s">
        <v>143</v>
      </c>
      <c r="C32" t="s">
        <v>30</v>
      </c>
      <c r="D32" t="s">
        <v>19</v>
      </c>
      <c r="E32" t="s">
        <v>20</v>
      </c>
      <c r="F32" t="s">
        <v>21</v>
      </c>
      <c r="G32" t="s">
        <v>44</v>
      </c>
      <c r="H32" t="s">
        <v>63</v>
      </c>
      <c r="I32" t="s">
        <v>24</v>
      </c>
      <c r="J32" t="s">
        <v>25</v>
      </c>
      <c r="K32">
        <v>12</v>
      </c>
      <c r="L32">
        <v>20900</v>
      </c>
      <c r="M32">
        <v>13000</v>
      </c>
      <c r="N32">
        <v>0</v>
      </c>
      <c r="O32" t="s">
        <v>57</v>
      </c>
      <c r="P32" t="s">
        <v>27</v>
      </c>
    </row>
    <row r="33" spans="1:16" x14ac:dyDescent="0.25">
      <c r="A33" t="s">
        <v>144</v>
      </c>
      <c r="B33" t="s">
        <v>145</v>
      </c>
      <c r="C33" t="s">
        <v>18</v>
      </c>
      <c r="D33" t="s">
        <v>60</v>
      </c>
      <c r="E33" t="s">
        <v>61</v>
      </c>
      <c r="F33" t="s">
        <v>43</v>
      </c>
      <c r="G33" t="s">
        <v>22</v>
      </c>
      <c r="H33" t="s">
        <v>112</v>
      </c>
      <c r="I33" t="s">
        <v>45</v>
      </c>
      <c r="J33" t="s">
        <v>46</v>
      </c>
      <c r="K33">
        <v>5</v>
      </c>
      <c r="L33">
        <v>17575</v>
      </c>
      <c r="M33">
        <v>14500</v>
      </c>
      <c r="N33">
        <v>0.1</v>
      </c>
      <c r="O33" t="s">
        <v>57</v>
      </c>
      <c r="P33" t="s">
        <v>48</v>
      </c>
    </row>
    <row r="34" spans="1:16" x14ac:dyDescent="0.25">
      <c r="A34" t="s">
        <v>146</v>
      </c>
      <c r="B34" t="s">
        <v>147</v>
      </c>
      <c r="C34" t="s">
        <v>30</v>
      </c>
      <c r="D34" t="s">
        <v>31</v>
      </c>
      <c r="E34" t="s">
        <v>32</v>
      </c>
      <c r="F34" t="s">
        <v>21</v>
      </c>
      <c r="G34" t="s">
        <v>33</v>
      </c>
      <c r="H34" t="s">
        <v>23</v>
      </c>
      <c r="I34" t="s">
        <v>35</v>
      </c>
      <c r="J34" t="s">
        <v>36</v>
      </c>
      <c r="K34">
        <v>2</v>
      </c>
      <c r="L34">
        <v>427500</v>
      </c>
      <c r="M34">
        <v>350000</v>
      </c>
      <c r="N34">
        <v>0</v>
      </c>
      <c r="O34" t="s">
        <v>148</v>
      </c>
      <c r="P34" t="s">
        <v>133</v>
      </c>
    </row>
    <row r="35" spans="1:16" x14ac:dyDescent="0.25">
      <c r="A35" t="s">
        <v>149</v>
      </c>
      <c r="B35" t="s">
        <v>150</v>
      </c>
      <c r="C35" t="s">
        <v>30</v>
      </c>
      <c r="D35" t="s">
        <v>19</v>
      </c>
      <c r="E35" t="s">
        <v>20</v>
      </c>
      <c r="F35" t="s">
        <v>21</v>
      </c>
      <c r="G35" t="s">
        <v>44</v>
      </c>
      <c r="H35" t="s">
        <v>112</v>
      </c>
      <c r="I35" t="s">
        <v>51</v>
      </c>
      <c r="J35" t="s">
        <v>36</v>
      </c>
      <c r="K35">
        <v>12</v>
      </c>
      <c r="L35">
        <v>294000</v>
      </c>
      <c r="M35">
        <v>210000</v>
      </c>
      <c r="N35">
        <v>0.1</v>
      </c>
      <c r="O35" t="s">
        <v>90</v>
      </c>
      <c r="P35" t="s">
        <v>48</v>
      </c>
    </row>
    <row r="36" spans="1:16" x14ac:dyDescent="0.25">
      <c r="A36" t="s">
        <v>151</v>
      </c>
      <c r="B36" t="s">
        <v>152</v>
      </c>
      <c r="C36" t="s">
        <v>18</v>
      </c>
      <c r="D36" t="s">
        <v>41</v>
      </c>
      <c r="E36" t="s">
        <v>42</v>
      </c>
      <c r="F36" t="s">
        <v>43</v>
      </c>
      <c r="G36" t="s">
        <v>22</v>
      </c>
      <c r="H36" t="s">
        <v>63</v>
      </c>
      <c r="I36" t="s">
        <v>35</v>
      </c>
      <c r="J36" t="s">
        <v>36</v>
      </c>
      <c r="K36">
        <v>3</v>
      </c>
      <c r="L36">
        <v>495000</v>
      </c>
      <c r="M36">
        <v>332500</v>
      </c>
      <c r="N36">
        <v>0</v>
      </c>
      <c r="O36" t="s">
        <v>26</v>
      </c>
      <c r="P36" t="s">
        <v>27</v>
      </c>
    </row>
    <row r="37" spans="1:16" x14ac:dyDescent="0.25">
      <c r="A37" t="s">
        <v>153</v>
      </c>
      <c r="B37" t="s">
        <v>154</v>
      </c>
      <c r="C37" t="s">
        <v>18</v>
      </c>
      <c r="D37" t="s">
        <v>136</v>
      </c>
      <c r="E37" t="s">
        <v>137</v>
      </c>
      <c r="F37" t="s">
        <v>122</v>
      </c>
      <c r="G37" t="s">
        <v>62</v>
      </c>
      <c r="H37" t="s">
        <v>112</v>
      </c>
      <c r="I37" t="s">
        <v>45</v>
      </c>
      <c r="J37" t="s">
        <v>46</v>
      </c>
      <c r="K37">
        <v>1</v>
      </c>
      <c r="L37">
        <v>17575</v>
      </c>
      <c r="M37">
        <v>14500</v>
      </c>
      <c r="N37">
        <v>0</v>
      </c>
      <c r="O37" t="s">
        <v>64</v>
      </c>
      <c r="P37" t="s">
        <v>48</v>
      </c>
    </row>
    <row r="38" spans="1:16" x14ac:dyDescent="0.25">
      <c r="A38" t="s">
        <v>155</v>
      </c>
      <c r="B38" t="s">
        <v>156</v>
      </c>
      <c r="C38" t="s">
        <v>18</v>
      </c>
      <c r="D38" t="s">
        <v>157</v>
      </c>
      <c r="E38" t="s">
        <v>158</v>
      </c>
      <c r="F38" t="s">
        <v>21</v>
      </c>
      <c r="G38" t="s">
        <v>33</v>
      </c>
      <c r="H38" t="s">
        <v>63</v>
      </c>
      <c r="I38" t="s">
        <v>70</v>
      </c>
      <c r="J38" t="s">
        <v>71</v>
      </c>
      <c r="K38">
        <v>6</v>
      </c>
      <c r="L38">
        <v>85500</v>
      </c>
      <c r="M38">
        <v>65100</v>
      </c>
      <c r="N38">
        <v>0</v>
      </c>
      <c r="O38" t="s">
        <v>57</v>
      </c>
      <c r="P38" t="s">
        <v>48</v>
      </c>
    </row>
    <row r="39" spans="1:16" x14ac:dyDescent="0.25">
      <c r="A39" t="s">
        <v>159</v>
      </c>
      <c r="B39" t="s">
        <v>160</v>
      </c>
      <c r="C39" t="s">
        <v>40</v>
      </c>
      <c r="D39" t="s">
        <v>60</v>
      </c>
      <c r="E39" t="s">
        <v>61</v>
      </c>
      <c r="F39" t="s">
        <v>43</v>
      </c>
      <c r="G39" t="s">
        <v>62</v>
      </c>
      <c r="H39" t="s">
        <v>23</v>
      </c>
      <c r="I39" t="s">
        <v>113</v>
      </c>
      <c r="J39" t="s">
        <v>36</v>
      </c>
      <c r="K39">
        <v>1</v>
      </c>
      <c r="L39">
        <v>152000</v>
      </c>
      <c r="M39">
        <v>120750</v>
      </c>
      <c r="N39">
        <v>0</v>
      </c>
      <c r="O39" t="s">
        <v>26</v>
      </c>
      <c r="P39" t="s">
        <v>48</v>
      </c>
    </row>
    <row r="40" spans="1:16" x14ac:dyDescent="0.25">
      <c r="A40" t="s">
        <v>161</v>
      </c>
      <c r="B40" t="s">
        <v>162</v>
      </c>
      <c r="C40" t="s">
        <v>40</v>
      </c>
      <c r="D40" t="s">
        <v>78</v>
      </c>
      <c r="E40" t="s">
        <v>79</v>
      </c>
      <c r="F40" t="s">
        <v>80</v>
      </c>
      <c r="G40" t="s">
        <v>22</v>
      </c>
      <c r="H40" t="s">
        <v>96</v>
      </c>
      <c r="I40" t="s">
        <v>24</v>
      </c>
      <c r="J40" t="s">
        <v>25</v>
      </c>
      <c r="K40">
        <v>2</v>
      </c>
      <c r="L40">
        <v>19800</v>
      </c>
      <c r="M40">
        <v>12350</v>
      </c>
      <c r="N40">
        <v>0</v>
      </c>
      <c r="O40" t="s">
        <v>26</v>
      </c>
      <c r="P40" t="s">
        <v>133</v>
      </c>
    </row>
    <row r="41" spans="1:16" x14ac:dyDescent="0.25">
      <c r="A41" t="s">
        <v>163</v>
      </c>
      <c r="B41" t="s">
        <v>164</v>
      </c>
      <c r="C41" t="s">
        <v>40</v>
      </c>
      <c r="D41" t="s">
        <v>136</v>
      </c>
      <c r="E41" t="s">
        <v>137</v>
      </c>
      <c r="F41" t="s">
        <v>122</v>
      </c>
      <c r="G41" t="s">
        <v>22</v>
      </c>
      <c r="H41" t="s">
        <v>112</v>
      </c>
      <c r="I41" t="s">
        <v>105</v>
      </c>
      <c r="J41" t="s">
        <v>71</v>
      </c>
      <c r="K41">
        <v>6</v>
      </c>
      <c r="L41">
        <v>175000</v>
      </c>
      <c r="M41">
        <v>114000</v>
      </c>
      <c r="N41">
        <v>0.05</v>
      </c>
      <c r="O41" t="s">
        <v>148</v>
      </c>
      <c r="P41" t="s">
        <v>48</v>
      </c>
    </row>
    <row r="42" spans="1:16" x14ac:dyDescent="0.25">
      <c r="A42" t="s">
        <v>165</v>
      </c>
      <c r="B42" t="s">
        <v>166</v>
      </c>
      <c r="C42" t="s">
        <v>30</v>
      </c>
      <c r="D42" t="s">
        <v>78</v>
      </c>
      <c r="E42" t="s">
        <v>79</v>
      </c>
      <c r="F42" t="s">
        <v>80</v>
      </c>
      <c r="G42" t="s">
        <v>62</v>
      </c>
      <c r="H42" t="s">
        <v>23</v>
      </c>
      <c r="I42" t="s">
        <v>93</v>
      </c>
      <c r="J42" t="s">
        <v>46</v>
      </c>
      <c r="K42">
        <v>5</v>
      </c>
      <c r="L42">
        <v>99750</v>
      </c>
      <c r="M42">
        <v>82000</v>
      </c>
      <c r="N42">
        <v>0</v>
      </c>
      <c r="O42" t="s">
        <v>47</v>
      </c>
      <c r="P42" t="s">
        <v>48</v>
      </c>
    </row>
    <row r="43" spans="1:16" x14ac:dyDescent="0.25">
      <c r="A43" t="s">
        <v>167</v>
      </c>
      <c r="B43" t="s">
        <v>168</v>
      </c>
      <c r="C43" t="s">
        <v>40</v>
      </c>
      <c r="D43" t="s">
        <v>19</v>
      </c>
      <c r="E43" t="s">
        <v>20</v>
      </c>
      <c r="F43" t="s">
        <v>21</v>
      </c>
      <c r="G43" t="s">
        <v>62</v>
      </c>
      <c r="H43" t="s">
        <v>23</v>
      </c>
      <c r="I43" t="s">
        <v>24</v>
      </c>
      <c r="J43" t="s">
        <v>25</v>
      </c>
      <c r="K43">
        <v>5</v>
      </c>
      <c r="L43">
        <v>22000</v>
      </c>
      <c r="M43">
        <v>13000</v>
      </c>
      <c r="N43">
        <v>0.15</v>
      </c>
      <c r="O43" t="s">
        <v>90</v>
      </c>
      <c r="P43" t="s">
        <v>48</v>
      </c>
    </row>
    <row r="44" spans="1:16" x14ac:dyDescent="0.25">
      <c r="A44" t="s">
        <v>169</v>
      </c>
      <c r="B44" t="s">
        <v>170</v>
      </c>
      <c r="C44" t="s">
        <v>40</v>
      </c>
      <c r="D44" t="s">
        <v>83</v>
      </c>
      <c r="E44" t="s">
        <v>84</v>
      </c>
      <c r="F44" t="s">
        <v>85</v>
      </c>
      <c r="G44" t="s">
        <v>22</v>
      </c>
      <c r="H44" t="s">
        <v>63</v>
      </c>
      <c r="I44" t="s">
        <v>113</v>
      </c>
      <c r="J44" t="s">
        <v>36</v>
      </c>
      <c r="K44">
        <v>5</v>
      </c>
      <c r="L44">
        <v>160000</v>
      </c>
      <c r="M44">
        <v>115000</v>
      </c>
      <c r="N44">
        <v>0.1</v>
      </c>
      <c r="O44" t="s">
        <v>57</v>
      </c>
      <c r="P44" t="s">
        <v>48</v>
      </c>
    </row>
    <row r="45" spans="1:16" x14ac:dyDescent="0.25">
      <c r="A45" t="s">
        <v>171</v>
      </c>
      <c r="B45" t="s">
        <v>147</v>
      </c>
      <c r="C45" t="s">
        <v>30</v>
      </c>
      <c r="D45" t="s">
        <v>83</v>
      </c>
      <c r="E45" t="s">
        <v>84</v>
      </c>
      <c r="F45" t="s">
        <v>85</v>
      </c>
      <c r="G45" t="s">
        <v>44</v>
      </c>
      <c r="H45" t="s">
        <v>23</v>
      </c>
      <c r="I45" t="s">
        <v>113</v>
      </c>
      <c r="J45" t="s">
        <v>36</v>
      </c>
      <c r="K45">
        <v>6</v>
      </c>
      <c r="L45">
        <v>160000</v>
      </c>
      <c r="M45">
        <v>115000</v>
      </c>
      <c r="N45">
        <v>0.05</v>
      </c>
      <c r="O45" t="s">
        <v>37</v>
      </c>
      <c r="P45" t="s">
        <v>72</v>
      </c>
    </row>
    <row r="46" spans="1:16" x14ac:dyDescent="0.25">
      <c r="A46" t="s">
        <v>171</v>
      </c>
      <c r="B46" t="s">
        <v>147</v>
      </c>
      <c r="C46" t="s">
        <v>40</v>
      </c>
      <c r="D46" t="s">
        <v>157</v>
      </c>
      <c r="E46" t="s">
        <v>158</v>
      </c>
      <c r="F46" t="s">
        <v>21</v>
      </c>
      <c r="G46" t="s">
        <v>44</v>
      </c>
      <c r="H46" t="s">
        <v>34</v>
      </c>
      <c r="I46" t="s">
        <v>113</v>
      </c>
      <c r="J46" t="s">
        <v>25</v>
      </c>
      <c r="K46">
        <v>6</v>
      </c>
      <c r="L46">
        <v>160000</v>
      </c>
      <c r="M46">
        <v>26000</v>
      </c>
      <c r="N46">
        <v>0</v>
      </c>
      <c r="O46" t="s">
        <v>90</v>
      </c>
      <c r="P46" t="s">
        <v>27</v>
      </c>
    </row>
    <row r="47" spans="1:16" x14ac:dyDescent="0.25">
      <c r="A47" t="s">
        <v>172</v>
      </c>
      <c r="B47" t="s">
        <v>173</v>
      </c>
      <c r="C47" t="s">
        <v>30</v>
      </c>
      <c r="D47" t="s">
        <v>31</v>
      </c>
      <c r="E47" t="s">
        <v>32</v>
      </c>
      <c r="F47" t="s">
        <v>21</v>
      </c>
      <c r="G47" t="s">
        <v>44</v>
      </c>
      <c r="H47" t="s">
        <v>112</v>
      </c>
      <c r="I47" t="s">
        <v>35</v>
      </c>
      <c r="J47" t="s">
        <v>36</v>
      </c>
      <c r="K47">
        <v>2</v>
      </c>
      <c r="L47">
        <v>450000</v>
      </c>
      <c r="M47">
        <v>332500</v>
      </c>
      <c r="N47">
        <v>0.05</v>
      </c>
      <c r="O47" t="s">
        <v>37</v>
      </c>
      <c r="P47" t="s">
        <v>27</v>
      </c>
    </row>
    <row r="48" spans="1:16" x14ac:dyDescent="0.25">
      <c r="A48" t="s">
        <v>174</v>
      </c>
      <c r="B48" t="s">
        <v>175</v>
      </c>
      <c r="C48" t="s">
        <v>18</v>
      </c>
      <c r="D48" t="s">
        <v>60</v>
      </c>
      <c r="E48" t="s">
        <v>61</v>
      </c>
      <c r="F48" t="s">
        <v>43</v>
      </c>
      <c r="G48" t="s">
        <v>33</v>
      </c>
      <c r="H48" t="s">
        <v>96</v>
      </c>
      <c r="I48" t="s">
        <v>55</v>
      </c>
      <c r="J48" t="s">
        <v>56</v>
      </c>
      <c r="K48">
        <v>1</v>
      </c>
      <c r="L48">
        <v>50400</v>
      </c>
      <c r="M48">
        <v>28500</v>
      </c>
      <c r="N48">
        <v>0</v>
      </c>
      <c r="O48" t="s">
        <v>64</v>
      </c>
      <c r="P48" t="s">
        <v>48</v>
      </c>
    </row>
    <row r="49" spans="1:16" x14ac:dyDescent="0.25">
      <c r="A49" t="s">
        <v>176</v>
      </c>
      <c r="B49" t="s">
        <v>177</v>
      </c>
      <c r="C49" t="s">
        <v>30</v>
      </c>
      <c r="D49" t="s">
        <v>110</v>
      </c>
      <c r="E49" t="s">
        <v>111</v>
      </c>
      <c r="F49" t="s">
        <v>85</v>
      </c>
      <c r="G49" t="s">
        <v>33</v>
      </c>
      <c r="H49" t="s">
        <v>23</v>
      </c>
      <c r="I49" t="s">
        <v>51</v>
      </c>
      <c r="J49" t="s">
        <v>36</v>
      </c>
      <c r="K49">
        <v>1</v>
      </c>
      <c r="L49">
        <v>280000</v>
      </c>
      <c r="M49">
        <v>210000</v>
      </c>
      <c r="N49">
        <v>0.05</v>
      </c>
      <c r="O49" t="s">
        <v>37</v>
      </c>
      <c r="P49" t="s">
        <v>27</v>
      </c>
    </row>
    <row r="50" spans="1:16" x14ac:dyDescent="0.25">
      <c r="A50" t="s">
        <v>178</v>
      </c>
      <c r="B50" t="s">
        <v>179</v>
      </c>
      <c r="C50" t="s">
        <v>30</v>
      </c>
      <c r="D50" t="s">
        <v>136</v>
      </c>
      <c r="E50" t="s">
        <v>137</v>
      </c>
      <c r="F50" t="s">
        <v>122</v>
      </c>
      <c r="G50" t="s">
        <v>33</v>
      </c>
      <c r="H50" t="s">
        <v>34</v>
      </c>
      <c r="I50" t="s">
        <v>75</v>
      </c>
      <c r="J50" t="s">
        <v>36</v>
      </c>
      <c r="K50">
        <v>8</v>
      </c>
      <c r="L50">
        <v>180000</v>
      </c>
      <c r="M50">
        <v>130000</v>
      </c>
      <c r="N50">
        <v>0</v>
      </c>
      <c r="O50" t="s">
        <v>57</v>
      </c>
      <c r="P50" t="s">
        <v>48</v>
      </c>
    </row>
    <row r="51" spans="1:16" x14ac:dyDescent="0.25">
      <c r="A51" t="s">
        <v>180</v>
      </c>
      <c r="B51" t="s">
        <v>181</v>
      </c>
      <c r="C51" t="s">
        <v>18</v>
      </c>
      <c r="D51" t="s">
        <v>19</v>
      </c>
      <c r="E51" t="s">
        <v>20</v>
      </c>
      <c r="F51" t="s">
        <v>21</v>
      </c>
      <c r="G51" t="s">
        <v>44</v>
      </c>
      <c r="H51" t="s">
        <v>34</v>
      </c>
      <c r="I51" t="s">
        <v>97</v>
      </c>
      <c r="J51" t="s">
        <v>56</v>
      </c>
      <c r="K51">
        <v>5</v>
      </c>
      <c r="L51">
        <v>118750</v>
      </c>
      <c r="M51">
        <v>85000</v>
      </c>
      <c r="N51">
        <v>0</v>
      </c>
      <c r="O51" t="s">
        <v>64</v>
      </c>
      <c r="P51" t="s">
        <v>133</v>
      </c>
    </row>
    <row r="52" spans="1:16" x14ac:dyDescent="0.25">
      <c r="A52" t="s">
        <v>182</v>
      </c>
      <c r="B52" t="s">
        <v>183</v>
      </c>
      <c r="C52" t="s">
        <v>30</v>
      </c>
      <c r="D52" t="s">
        <v>136</v>
      </c>
      <c r="E52" t="s">
        <v>137</v>
      </c>
      <c r="F52" t="s">
        <v>122</v>
      </c>
      <c r="G52" t="s">
        <v>33</v>
      </c>
      <c r="H52" t="s">
        <v>112</v>
      </c>
      <c r="I52" t="s">
        <v>55</v>
      </c>
      <c r="J52" t="s">
        <v>56</v>
      </c>
      <c r="K52">
        <v>1</v>
      </c>
      <c r="L52">
        <v>45600</v>
      </c>
      <c r="M52">
        <v>28500</v>
      </c>
      <c r="N52">
        <v>0.05</v>
      </c>
      <c r="O52" t="s">
        <v>148</v>
      </c>
      <c r="P52" t="s">
        <v>48</v>
      </c>
    </row>
    <row r="53" spans="1:16" x14ac:dyDescent="0.25">
      <c r="A53" t="s">
        <v>184</v>
      </c>
      <c r="B53" t="s">
        <v>185</v>
      </c>
      <c r="C53" t="s">
        <v>18</v>
      </c>
      <c r="D53" t="s">
        <v>83</v>
      </c>
      <c r="E53" t="s">
        <v>84</v>
      </c>
      <c r="F53" t="s">
        <v>85</v>
      </c>
      <c r="G53" t="s">
        <v>62</v>
      </c>
      <c r="H53" t="s">
        <v>63</v>
      </c>
      <c r="I53" t="s">
        <v>113</v>
      </c>
      <c r="J53" t="s">
        <v>36</v>
      </c>
      <c r="K53">
        <v>3</v>
      </c>
      <c r="L53">
        <v>176000</v>
      </c>
      <c r="M53">
        <v>109250</v>
      </c>
      <c r="N53">
        <v>0.1</v>
      </c>
      <c r="O53" t="s">
        <v>26</v>
      </c>
      <c r="P53" t="s">
        <v>72</v>
      </c>
    </row>
    <row r="54" spans="1:16" x14ac:dyDescent="0.25">
      <c r="A54" t="s">
        <v>186</v>
      </c>
      <c r="B54" t="s">
        <v>187</v>
      </c>
      <c r="C54" t="s">
        <v>40</v>
      </c>
      <c r="D54" t="s">
        <v>78</v>
      </c>
      <c r="E54" t="s">
        <v>79</v>
      </c>
      <c r="F54" t="s">
        <v>80</v>
      </c>
      <c r="G54" t="s">
        <v>33</v>
      </c>
      <c r="H54" t="s">
        <v>96</v>
      </c>
      <c r="I54" t="s">
        <v>55</v>
      </c>
      <c r="J54" t="s">
        <v>56</v>
      </c>
      <c r="K54">
        <v>6</v>
      </c>
      <c r="L54">
        <v>48000</v>
      </c>
      <c r="M54">
        <v>30000</v>
      </c>
      <c r="N54">
        <v>0.05</v>
      </c>
      <c r="O54" t="s">
        <v>26</v>
      </c>
      <c r="P54" t="s">
        <v>48</v>
      </c>
    </row>
    <row r="55" spans="1:16" x14ac:dyDescent="0.25">
      <c r="A55" t="s">
        <v>188</v>
      </c>
      <c r="B55" t="s">
        <v>189</v>
      </c>
      <c r="C55" t="s">
        <v>30</v>
      </c>
      <c r="D55" t="s">
        <v>120</v>
      </c>
      <c r="E55" t="s">
        <v>121</v>
      </c>
      <c r="F55" t="s">
        <v>122</v>
      </c>
      <c r="G55" t="s">
        <v>22</v>
      </c>
      <c r="H55" t="s">
        <v>112</v>
      </c>
      <c r="I55" t="s">
        <v>105</v>
      </c>
      <c r="J55" t="s">
        <v>71</v>
      </c>
      <c r="K55">
        <v>5</v>
      </c>
      <c r="L55">
        <v>175000</v>
      </c>
      <c r="M55">
        <v>120000</v>
      </c>
      <c r="N55">
        <v>0.05</v>
      </c>
      <c r="O55" t="s">
        <v>148</v>
      </c>
      <c r="P55" t="s">
        <v>133</v>
      </c>
    </row>
    <row r="56" spans="1:16" x14ac:dyDescent="0.25">
      <c r="A56" t="s">
        <v>190</v>
      </c>
      <c r="B56" t="s">
        <v>191</v>
      </c>
      <c r="C56" t="s">
        <v>40</v>
      </c>
      <c r="D56" t="s">
        <v>120</v>
      </c>
      <c r="E56" t="s">
        <v>121</v>
      </c>
      <c r="F56" t="s">
        <v>122</v>
      </c>
      <c r="G56" t="s">
        <v>62</v>
      </c>
      <c r="H56" t="s">
        <v>34</v>
      </c>
      <c r="I56" t="s">
        <v>51</v>
      </c>
      <c r="J56" t="s">
        <v>36</v>
      </c>
      <c r="K56">
        <v>3</v>
      </c>
      <c r="L56">
        <v>308000</v>
      </c>
      <c r="M56">
        <v>220500</v>
      </c>
      <c r="N56">
        <v>0</v>
      </c>
      <c r="O56" t="s">
        <v>37</v>
      </c>
      <c r="P56" t="s">
        <v>48</v>
      </c>
    </row>
    <row r="57" spans="1:16" x14ac:dyDescent="0.25">
      <c r="A57" t="s">
        <v>192</v>
      </c>
      <c r="B57" t="s">
        <v>193</v>
      </c>
      <c r="C57" t="s">
        <v>40</v>
      </c>
      <c r="D57" t="s">
        <v>88</v>
      </c>
      <c r="E57" t="s">
        <v>89</v>
      </c>
      <c r="F57" t="s">
        <v>43</v>
      </c>
      <c r="G57" t="s">
        <v>22</v>
      </c>
      <c r="H57" t="s">
        <v>23</v>
      </c>
      <c r="I57" t="s">
        <v>105</v>
      </c>
      <c r="J57" t="s">
        <v>71</v>
      </c>
      <c r="K57">
        <v>6</v>
      </c>
      <c r="L57">
        <v>175000</v>
      </c>
      <c r="M57">
        <v>120000</v>
      </c>
      <c r="N57">
        <v>0.05</v>
      </c>
      <c r="O57" t="s">
        <v>148</v>
      </c>
      <c r="P57" t="s">
        <v>48</v>
      </c>
    </row>
    <row r="58" spans="1:16" x14ac:dyDescent="0.25">
      <c r="A58" t="s">
        <v>194</v>
      </c>
      <c r="B58" t="s">
        <v>195</v>
      </c>
      <c r="C58" t="s">
        <v>18</v>
      </c>
      <c r="D58" t="s">
        <v>60</v>
      </c>
      <c r="E58" t="s">
        <v>61</v>
      </c>
      <c r="F58" t="s">
        <v>43</v>
      </c>
      <c r="G58" t="s">
        <v>44</v>
      </c>
      <c r="H58" t="s">
        <v>34</v>
      </c>
      <c r="I58" t="s">
        <v>105</v>
      </c>
      <c r="J58" t="s">
        <v>71</v>
      </c>
      <c r="K58">
        <v>5</v>
      </c>
      <c r="L58">
        <v>192500</v>
      </c>
      <c r="M58">
        <v>114000</v>
      </c>
      <c r="N58">
        <v>0</v>
      </c>
      <c r="O58" t="s">
        <v>90</v>
      </c>
      <c r="P58" t="s">
        <v>48</v>
      </c>
    </row>
    <row r="59" spans="1:16" x14ac:dyDescent="0.25">
      <c r="A59" t="s">
        <v>196</v>
      </c>
      <c r="B59" t="s">
        <v>197</v>
      </c>
      <c r="C59" t="s">
        <v>18</v>
      </c>
      <c r="D59" t="s">
        <v>120</v>
      </c>
      <c r="E59" t="s">
        <v>121</v>
      </c>
      <c r="F59" t="s">
        <v>122</v>
      </c>
      <c r="G59" t="s">
        <v>22</v>
      </c>
      <c r="H59" t="s">
        <v>34</v>
      </c>
      <c r="I59" t="s">
        <v>97</v>
      </c>
      <c r="J59" t="s">
        <v>56</v>
      </c>
      <c r="K59">
        <v>1</v>
      </c>
      <c r="L59">
        <v>118750</v>
      </c>
      <c r="M59">
        <v>89250</v>
      </c>
      <c r="N59">
        <v>0.15</v>
      </c>
      <c r="O59" t="s">
        <v>57</v>
      </c>
      <c r="P59" t="s">
        <v>48</v>
      </c>
    </row>
    <row r="60" spans="1:16" x14ac:dyDescent="0.25">
      <c r="A60" t="s">
        <v>198</v>
      </c>
      <c r="B60" t="s">
        <v>29</v>
      </c>
      <c r="C60" t="s">
        <v>30</v>
      </c>
      <c r="D60" t="s">
        <v>131</v>
      </c>
      <c r="E60" t="s">
        <v>132</v>
      </c>
      <c r="F60" t="s">
        <v>80</v>
      </c>
      <c r="G60" t="s">
        <v>44</v>
      </c>
      <c r="H60" t="s">
        <v>96</v>
      </c>
      <c r="I60" t="s">
        <v>51</v>
      </c>
      <c r="J60" t="s">
        <v>36</v>
      </c>
      <c r="K60">
        <v>1</v>
      </c>
      <c r="L60">
        <v>280000</v>
      </c>
      <c r="M60">
        <v>220500</v>
      </c>
      <c r="N60">
        <v>0.05</v>
      </c>
      <c r="O60" t="s">
        <v>57</v>
      </c>
      <c r="P60" t="s">
        <v>48</v>
      </c>
    </row>
    <row r="61" spans="1:16" x14ac:dyDescent="0.25">
      <c r="A61" t="s">
        <v>199</v>
      </c>
      <c r="B61" t="s">
        <v>200</v>
      </c>
      <c r="C61" t="s">
        <v>30</v>
      </c>
      <c r="D61" t="s">
        <v>131</v>
      </c>
      <c r="E61" t="s">
        <v>132</v>
      </c>
      <c r="F61" t="s">
        <v>80</v>
      </c>
      <c r="G61" t="s">
        <v>62</v>
      </c>
      <c r="H61" t="s">
        <v>96</v>
      </c>
      <c r="I61" t="s">
        <v>24</v>
      </c>
      <c r="J61" t="s">
        <v>25</v>
      </c>
      <c r="K61">
        <v>6</v>
      </c>
      <c r="L61">
        <v>24200</v>
      </c>
      <c r="M61">
        <v>12350</v>
      </c>
      <c r="N61">
        <v>0</v>
      </c>
      <c r="O61" t="s">
        <v>47</v>
      </c>
      <c r="P61" t="s">
        <v>72</v>
      </c>
    </row>
    <row r="62" spans="1:16" x14ac:dyDescent="0.25">
      <c r="A62" t="s">
        <v>201</v>
      </c>
      <c r="B62" t="s">
        <v>59</v>
      </c>
      <c r="C62" t="s">
        <v>30</v>
      </c>
      <c r="D62" t="s">
        <v>83</v>
      </c>
      <c r="E62" t="s">
        <v>84</v>
      </c>
      <c r="F62" t="s">
        <v>85</v>
      </c>
      <c r="G62" t="s">
        <v>44</v>
      </c>
      <c r="H62" t="s">
        <v>112</v>
      </c>
      <c r="I62" t="s">
        <v>35</v>
      </c>
      <c r="J62" t="s">
        <v>36</v>
      </c>
      <c r="K62">
        <v>8</v>
      </c>
      <c r="L62">
        <v>405000</v>
      </c>
      <c r="M62">
        <v>367500</v>
      </c>
      <c r="N62">
        <v>0</v>
      </c>
      <c r="O62" t="s">
        <v>90</v>
      </c>
      <c r="P62" t="s">
        <v>72</v>
      </c>
    </row>
    <row r="63" spans="1:16" x14ac:dyDescent="0.25">
      <c r="A63" t="s">
        <v>202</v>
      </c>
      <c r="B63" t="s">
        <v>203</v>
      </c>
      <c r="C63" t="s">
        <v>30</v>
      </c>
      <c r="D63" t="s">
        <v>78</v>
      </c>
      <c r="E63" t="s">
        <v>79</v>
      </c>
      <c r="F63" t="s">
        <v>80</v>
      </c>
      <c r="G63" t="s">
        <v>62</v>
      </c>
      <c r="H63" t="s">
        <v>63</v>
      </c>
      <c r="I63" t="s">
        <v>102</v>
      </c>
      <c r="J63" t="s">
        <v>25</v>
      </c>
      <c r="K63">
        <v>12</v>
      </c>
      <c r="L63">
        <v>42000</v>
      </c>
      <c r="M63">
        <v>27300</v>
      </c>
      <c r="N63">
        <v>0.05</v>
      </c>
      <c r="O63" t="s">
        <v>64</v>
      </c>
      <c r="P63" t="s">
        <v>27</v>
      </c>
    </row>
    <row r="64" spans="1:16" x14ac:dyDescent="0.25">
      <c r="A64" t="s">
        <v>204</v>
      </c>
      <c r="B64" t="s">
        <v>205</v>
      </c>
      <c r="C64" t="s">
        <v>40</v>
      </c>
      <c r="D64" t="s">
        <v>41</v>
      </c>
      <c r="E64" t="s">
        <v>42</v>
      </c>
      <c r="F64" t="s">
        <v>43</v>
      </c>
      <c r="G64" t="s">
        <v>62</v>
      </c>
      <c r="H64" t="s">
        <v>96</v>
      </c>
      <c r="I64" t="s">
        <v>51</v>
      </c>
      <c r="J64" t="s">
        <v>36</v>
      </c>
      <c r="K64">
        <v>10</v>
      </c>
      <c r="L64">
        <v>266000</v>
      </c>
      <c r="M64">
        <v>220500</v>
      </c>
      <c r="N64">
        <v>0.1</v>
      </c>
      <c r="O64" t="s">
        <v>37</v>
      </c>
      <c r="P64" t="s">
        <v>27</v>
      </c>
    </row>
    <row r="65" spans="1:16" x14ac:dyDescent="0.25">
      <c r="A65" t="s">
        <v>206</v>
      </c>
      <c r="B65" t="s">
        <v>207</v>
      </c>
      <c r="C65" t="s">
        <v>30</v>
      </c>
      <c r="D65" t="s">
        <v>157</v>
      </c>
      <c r="E65" t="s">
        <v>158</v>
      </c>
      <c r="F65" t="s">
        <v>21</v>
      </c>
      <c r="G65" t="s">
        <v>62</v>
      </c>
      <c r="H65" t="s">
        <v>23</v>
      </c>
      <c r="I65" t="s">
        <v>105</v>
      </c>
      <c r="J65" t="s">
        <v>71</v>
      </c>
      <c r="K65">
        <v>3</v>
      </c>
      <c r="L65">
        <v>175000</v>
      </c>
      <c r="M65">
        <v>120000</v>
      </c>
      <c r="N65">
        <v>0</v>
      </c>
      <c r="O65" t="s">
        <v>148</v>
      </c>
      <c r="P65" t="s">
        <v>133</v>
      </c>
    </row>
    <row r="66" spans="1:16" x14ac:dyDescent="0.25">
      <c r="A66" t="s">
        <v>208</v>
      </c>
      <c r="B66" t="s">
        <v>209</v>
      </c>
      <c r="C66" t="s">
        <v>30</v>
      </c>
      <c r="D66" t="s">
        <v>60</v>
      </c>
      <c r="E66" t="s">
        <v>61</v>
      </c>
      <c r="F66" t="s">
        <v>43</v>
      </c>
      <c r="G66" t="s">
        <v>33</v>
      </c>
      <c r="H66" t="s">
        <v>112</v>
      </c>
      <c r="I66" t="s">
        <v>93</v>
      </c>
      <c r="J66" t="s">
        <v>46</v>
      </c>
      <c r="K66">
        <v>1</v>
      </c>
      <c r="L66">
        <v>99750</v>
      </c>
      <c r="M66">
        <v>86100</v>
      </c>
      <c r="N66">
        <v>0.05</v>
      </c>
      <c r="O66" t="s">
        <v>37</v>
      </c>
      <c r="P66" t="s">
        <v>48</v>
      </c>
    </row>
    <row r="67" spans="1:16" x14ac:dyDescent="0.25">
      <c r="A67" t="s">
        <v>210</v>
      </c>
      <c r="B67" t="s">
        <v>211</v>
      </c>
      <c r="C67" t="s">
        <v>40</v>
      </c>
      <c r="D67" t="s">
        <v>19</v>
      </c>
      <c r="E67" t="s">
        <v>20</v>
      </c>
      <c r="F67" t="s">
        <v>21</v>
      </c>
      <c r="G67" t="s">
        <v>33</v>
      </c>
      <c r="H67" t="s">
        <v>23</v>
      </c>
      <c r="I67" t="s">
        <v>35</v>
      </c>
      <c r="J67" t="s">
        <v>36</v>
      </c>
      <c r="K67">
        <v>2</v>
      </c>
      <c r="L67">
        <v>450000</v>
      </c>
      <c r="M67">
        <v>350000</v>
      </c>
      <c r="N67">
        <v>0</v>
      </c>
      <c r="O67" t="s">
        <v>47</v>
      </c>
      <c r="P67" t="s">
        <v>133</v>
      </c>
    </row>
    <row r="68" spans="1:16" x14ac:dyDescent="0.25">
      <c r="A68" t="s">
        <v>212</v>
      </c>
      <c r="B68" t="s">
        <v>213</v>
      </c>
      <c r="C68" t="s">
        <v>18</v>
      </c>
      <c r="D68" t="s">
        <v>136</v>
      </c>
      <c r="E68" t="s">
        <v>137</v>
      </c>
      <c r="F68" t="s">
        <v>122</v>
      </c>
      <c r="G68" t="s">
        <v>22</v>
      </c>
      <c r="H68" t="s">
        <v>34</v>
      </c>
      <c r="I68" t="s">
        <v>55</v>
      </c>
      <c r="J68" t="s">
        <v>56</v>
      </c>
      <c r="K68">
        <v>4</v>
      </c>
      <c r="L68">
        <v>48000</v>
      </c>
      <c r="M68">
        <v>31500</v>
      </c>
      <c r="N68">
        <v>0</v>
      </c>
      <c r="O68" t="s">
        <v>47</v>
      </c>
      <c r="P68" t="s">
        <v>48</v>
      </c>
    </row>
    <row r="69" spans="1:16" x14ac:dyDescent="0.25">
      <c r="A69" t="s">
        <v>214</v>
      </c>
      <c r="B69" t="s">
        <v>215</v>
      </c>
      <c r="C69" t="s">
        <v>40</v>
      </c>
      <c r="D69" t="s">
        <v>136</v>
      </c>
      <c r="E69" t="s">
        <v>137</v>
      </c>
      <c r="F69" t="s">
        <v>122</v>
      </c>
      <c r="G69" t="s">
        <v>62</v>
      </c>
      <c r="H69" t="s">
        <v>23</v>
      </c>
      <c r="I69" t="s">
        <v>51</v>
      </c>
      <c r="J69" t="s">
        <v>36</v>
      </c>
      <c r="K69">
        <v>4</v>
      </c>
      <c r="L69">
        <v>308000</v>
      </c>
      <c r="M69">
        <v>210000</v>
      </c>
      <c r="N69">
        <v>0</v>
      </c>
      <c r="O69" t="s">
        <v>57</v>
      </c>
      <c r="P69" t="s">
        <v>27</v>
      </c>
    </row>
    <row r="70" spans="1:16" x14ac:dyDescent="0.25">
      <c r="A70" t="s">
        <v>216</v>
      </c>
      <c r="B70" t="s">
        <v>217</v>
      </c>
      <c r="C70" t="s">
        <v>30</v>
      </c>
      <c r="D70" t="s">
        <v>60</v>
      </c>
      <c r="E70" t="s">
        <v>61</v>
      </c>
      <c r="F70" t="s">
        <v>43</v>
      </c>
      <c r="G70" t="s">
        <v>44</v>
      </c>
      <c r="H70" t="s">
        <v>63</v>
      </c>
      <c r="I70" t="s">
        <v>51</v>
      </c>
      <c r="J70" t="s">
        <v>36</v>
      </c>
      <c r="K70">
        <v>2</v>
      </c>
      <c r="L70">
        <v>280000</v>
      </c>
      <c r="M70">
        <v>210000</v>
      </c>
      <c r="N70">
        <v>0</v>
      </c>
      <c r="O70" t="s">
        <v>148</v>
      </c>
      <c r="P70" t="s">
        <v>27</v>
      </c>
    </row>
    <row r="71" spans="1:16" x14ac:dyDescent="0.25">
      <c r="A71" t="s">
        <v>218</v>
      </c>
      <c r="B71" t="s">
        <v>219</v>
      </c>
      <c r="C71" t="s">
        <v>40</v>
      </c>
      <c r="D71" t="s">
        <v>78</v>
      </c>
      <c r="E71" t="s">
        <v>79</v>
      </c>
      <c r="F71" t="s">
        <v>80</v>
      </c>
      <c r="G71" t="s">
        <v>33</v>
      </c>
      <c r="H71" t="s">
        <v>112</v>
      </c>
      <c r="I71" t="s">
        <v>35</v>
      </c>
      <c r="J71" t="s">
        <v>36</v>
      </c>
      <c r="K71">
        <v>2</v>
      </c>
      <c r="L71">
        <v>427500</v>
      </c>
      <c r="M71">
        <v>367500</v>
      </c>
      <c r="N71">
        <v>0</v>
      </c>
      <c r="O71" t="s">
        <v>37</v>
      </c>
      <c r="P71" t="s">
        <v>133</v>
      </c>
    </row>
    <row r="72" spans="1:16" x14ac:dyDescent="0.25">
      <c r="A72" t="s">
        <v>220</v>
      </c>
      <c r="B72" t="s">
        <v>221</v>
      </c>
      <c r="C72" t="s">
        <v>40</v>
      </c>
      <c r="D72" t="s">
        <v>157</v>
      </c>
      <c r="E72" t="s">
        <v>158</v>
      </c>
      <c r="F72" t="s">
        <v>21</v>
      </c>
      <c r="G72" t="s">
        <v>22</v>
      </c>
      <c r="H72" t="s">
        <v>23</v>
      </c>
      <c r="I72" t="s">
        <v>105</v>
      </c>
      <c r="J72" t="s">
        <v>71</v>
      </c>
      <c r="K72">
        <v>12</v>
      </c>
      <c r="L72">
        <v>175000</v>
      </c>
      <c r="M72">
        <v>126000</v>
      </c>
      <c r="N72">
        <v>0</v>
      </c>
      <c r="O72" t="s">
        <v>148</v>
      </c>
      <c r="P72" t="s">
        <v>72</v>
      </c>
    </row>
    <row r="73" spans="1:16" x14ac:dyDescent="0.25">
      <c r="A73" t="s">
        <v>222</v>
      </c>
      <c r="B73" t="s">
        <v>223</v>
      </c>
      <c r="C73" t="s">
        <v>40</v>
      </c>
      <c r="D73" t="s">
        <v>157</v>
      </c>
      <c r="E73" t="s">
        <v>158</v>
      </c>
      <c r="F73" t="s">
        <v>21</v>
      </c>
      <c r="G73" t="s">
        <v>44</v>
      </c>
      <c r="H73" t="s">
        <v>23</v>
      </c>
      <c r="I73" t="s">
        <v>75</v>
      </c>
      <c r="J73" t="s">
        <v>36</v>
      </c>
      <c r="K73">
        <v>6</v>
      </c>
      <c r="L73">
        <v>180000</v>
      </c>
      <c r="M73">
        <v>123500</v>
      </c>
      <c r="N73">
        <v>0</v>
      </c>
      <c r="O73" t="s">
        <v>26</v>
      </c>
      <c r="P73" t="s">
        <v>133</v>
      </c>
    </row>
    <row r="74" spans="1:16" x14ac:dyDescent="0.25">
      <c r="A74" t="s">
        <v>224</v>
      </c>
      <c r="B74" t="s">
        <v>170</v>
      </c>
      <c r="C74" t="s">
        <v>18</v>
      </c>
      <c r="D74" t="s">
        <v>110</v>
      </c>
      <c r="E74" t="s">
        <v>111</v>
      </c>
      <c r="F74" t="s">
        <v>85</v>
      </c>
      <c r="G74" t="s">
        <v>22</v>
      </c>
      <c r="H74" t="s">
        <v>34</v>
      </c>
      <c r="I74" t="s">
        <v>97</v>
      </c>
      <c r="J74" t="s">
        <v>56</v>
      </c>
      <c r="K74">
        <v>2</v>
      </c>
      <c r="L74">
        <v>125000</v>
      </c>
      <c r="M74">
        <v>89250</v>
      </c>
      <c r="N74">
        <v>0</v>
      </c>
      <c r="O74" t="s">
        <v>64</v>
      </c>
      <c r="P74" t="s">
        <v>133</v>
      </c>
    </row>
    <row r="75" spans="1:16" x14ac:dyDescent="0.25">
      <c r="A75" t="s">
        <v>225</v>
      </c>
      <c r="B75" t="s">
        <v>226</v>
      </c>
      <c r="C75" t="s">
        <v>18</v>
      </c>
      <c r="D75" t="s">
        <v>120</v>
      </c>
      <c r="E75" t="s">
        <v>121</v>
      </c>
      <c r="F75" t="s">
        <v>122</v>
      </c>
      <c r="G75" t="s">
        <v>33</v>
      </c>
      <c r="H75" t="s">
        <v>112</v>
      </c>
      <c r="I75" t="s">
        <v>70</v>
      </c>
      <c r="J75" t="s">
        <v>71</v>
      </c>
      <c r="K75">
        <v>1</v>
      </c>
      <c r="L75">
        <v>90250</v>
      </c>
      <c r="M75">
        <v>62000</v>
      </c>
      <c r="N75">
        <v>0.1</v>
      </c>
      <c r="O75" t="s">
        <v>37</v>
      </c>
      <c r="P75" t="s">
        <v>48</v>
      </c>
    </row>
    <row r="76" spans="1:16" x14ac:dyDescent="0.25">
      <c r="A76" t="s">
        <v>227</v>
      </c>
      <c r="B76" t="s">
        <v>124</v>
      </c>
      <c r="C76" t="s">
        <v>30</v>
      </c>
      <c r="D76" t="s">
        <v>31</v>
      </c>
      <c r="E76" t="s">
        <v>32</v>
      </c>
      <c r="F76" t="s">
        <v>21</v>
      </c>
      <c r="G76" t="s">
        <v>44</v>
      </c>
      <c r="H76" t="s">
        <v>63</v>
      </c>
      <c r="I76" t="s">
        <v>70</v>
      </c>
      <c r="J76" t="s">
        <v>71</v>
      </c>
      <c r="K76">
        <v>2</v>
      </c>
      <c r="L76">
        <v>99750</v>
      </c>
      <c r="M76">
        <v>62000</v>
      </c>
      <c r="N76">
        <v>0.15</v>
      </c>
      <c r="O76" t="s">
        <v>64</v>
      </c>
      <c r="P76" t="s">
        <v>48</v>
      </c>
    </row>
    <row r="77" spans="1:16" x14ac:dyDescent="0.25">
      <c r="A77" t="s">
        <v>228</v>
      </c>
      <c r="B77" t="s">
        <v>229</v>
      </c>
      <c r="C77" t="s">
        <v>18</v>
      </c>
      <c r="D77" t="s">
        <v>19</v>
      </c>
      <c r="E77" t="s">
        <v>20</v>
      </c>
      <c r="F77" t="s">
        <v>21</v>
      </c>
      <c r="G77" t="s">
        <v>44</v>
      </c>
      <c r="H77" t="s">
        <v>63</v>
      </c>
      <c r="I77" t="s">
        <v>55</v>
      </c>
      <c r="J77" t="s">
        <v>56</v>
      </c>
      <c r="K77">
        <v>4</v>
      </c>
      <c r="L77">
        <v>50400</v>
      </c>
      <c r="M77">
        <v>30000</v>
      </c>
      <c r="N77">
        <v>0</v>
      </c>
      <c r="O77" t="s">
        <v>57</v>
      </c>
      <c r="P77" t="s">
        <v>48</v>
      </c>
    </row>
    <row r="78" spans="1:16" x14ac:dyDescent="0.25">
      <c r="A78" t="s">
        <v>230</v>
      </c>
      <c r="B78" t="s">
        <v>231</v>
      </c>
      <c r="C78" t="s">
        <v>40</v>
      </c>
      <c r="D78" t="s">
        <v>19</v>
      </c>
      <c r="E78" t="s">
        <v>20</v>
      </c>
      <c r="F78" t="s">
        <v>21</v>
      </c>
      <c r="G78" t="s">
        <v>33</v>
      </c>
      <c r="H78" t="s">
        <v>96</v>
      </c>
      <c r="I78" t="s">
        <v>97</v>
      </c>
      <c r="J78" t="s">
        <v>56</v>
      </c>
      <c r="K78">
        <v>3</v>
      </c>
      <c r="L78">
        <v>125000</v>
      </c>
      <c r="M78">
        <v>89250</v>
      </c>
      <c r="N78">
        <v>0</v>
      </c>
      <c r="O78" t="s">
        <v>148</v>
      </c>
      <c r="P78" t="s">
        <v>133</v>
      </c>
    </row>
    <row r="79" spans="1:16" x14ac:dyDescent="0.25">
      <c r="A79" t="s">
        <v>232</v>
      </c>
      <c r="B79" t="s">
        <v>233</v>
      </c>
      <c r="C79" t="s">
        <v>30</v>
      </c>
      <c r="D79" t="s">
        <v>136</v>
      </c>
      <c r="E79" t="s">
        <v>137</v>
      </c>
      <c r="F79" t="s">
        <v>122</v>
      </c>
      <c r="G79" t="s">
        <v>22</v>
      </c>
      <c r="H79" t="s">
        <v>63</v>
      </c>
      <c r="I79" t="s">
        <v>55</v>
      </c>
      <c r="J79" t="s">
        <v>56</v>
      </c>
      <c r="K79">
        <v>2</v>
      </c>
      <c r="L79">
        <v>48000</v>
      </c>
      <c r="M79">
        <v>28500</v>
      </c>
      <c r="N79">
        <v>0</v>
      </c>
      <c r="O79" t="s">
        <v>148</v>
      </c>
      <c r="P79" t="s">
        <v>27</v>
      </c>
    </row>
    <row r="80" spans="1:16" x14ac:dyDescent="0.25">
      <c r="A80" t="s">
        <v>234</v>
      </c>
      <c r="B80" t="s">
        <v>74</v>
      </c>
      <c r="C80" t="s">
        <v>30</v>
      </c>
      <c r="D80" t="s">
        <v>110</v>
      </c>
      <c r="E80" t="s">
        <v>111</v>
      </c>
      <c r="F80" t="s">
        <v>85</v>
      </c>
      <c r="G80" t="s">
        <v>33</v>
      </c>
      <c r="H80" t="s">
        <v>96</v>
      </c>
      <c r="I80" t="s">
        <v>75</v>
      </c>
      <c r="J80" t="s">
        <v>36</v>
      </c>
      <c r="K80">
        <v>3</v>
      </c>
      <c r="L80">
        <v>180000</v>
      </c>
      <c r="M80">
        <v>130000</v>
      </c>
      <c r="N80">
        <v>0</v>
      </c>
      <c r="O80" t="s">
        <v>37</v>
      </c>
      <c r="P80" t="s">
        <v>72</v>
      </c>
    </row>
    <row r="81" spans="1:16" x14ac:dyDescent="0.25">
      <c r="A81" t="s">
        <v>235</v>
      </c>
      <c r="B81" t="s">
        <v>236</v>
      </c>
      <c r="C81" t="s">
        <v>30</v>
      </c>
      <c r="D81" t="s">
        <v>83</v>
      </c>
      <c r="E81" t="s">
        <v>84</v>
      </c>
      <c r="F81" t="s">
        <v>85</v>
      </c>
      <c r="G81" t="s">
        <v>33</v>
      </c>
      <c r="H81" t="s">
        <v>63</v>
      </c>
      <c r="I81" t="s">
        <v>105</v>
      </c>
      <c r="J81" t="s">
        <v>71</v>
      </c>
      <c r="K81">
        <v>2</v>
      </c>
      <c r="L81">
        <v>183750</v>
      </c>
      <c r="M81">
        <v>114000</v>
      </c>
      <c r="N81">
        <v>0</v>
      </c>
      <c r="O81" t="s">
        <v>26</v>
      </c>
      <c r="P81" t="s">
        <v>72</v>
      </c>
    </row>
    <row r="82" spans="1:16" x14ac:dyDescent="0.25">
      <c r="A82" t="s">
        <v>237</v>
      </c>
      <c r="B82" t="s">
        <v>238</v>
      </c>
      <c r="C82" t="s">
        <v>30</v>
      </c>
      <c r="D82" t="s">
        <v>31</v>
      </c>
      <c r="E82" t="s">
        <v>32</v>
      </c>
      <c r="F82" t="s">
        <v>21</v>
      </c>
      <c r="G82" t="s">
        <v>22</v>
      </c>
      <c r="H82" t="s">
        <v>23</v>
      </c>
      <c r="I82" t="s">
        <v>93</v>
      </c>
      <c r="J82" t="s">
        <v>46</v>
      </c>
      <c r="K82">
        <v>3</v>
      </c>
      <c r="L82">
        <v>95000</v>
      </c>
      <c r="M82">
        <v>82000</v>
      </c>
      <c r="N82">
        <v>0</v>
      </c>
      <c r="O82" t="s">
        <v>37</v>
      </c>
      <c r="P82" t="s">
        <v>72</v>
      </c>
    </row>
    <row r="83" spans="1:16" x14ac:dyDescent="0.25">
      <c r="A83" t="s">
        <v>239</v>
      </c>
      <c r="B83" t="s">
        <v>147</v>
      </c>
      <c r="C83" t="s">
        <v>18</v>
      </c>
      <c r="D83" t="s">
        <v>31</v>
      </c>
      <c r="E83" t="s">
        <v>32</v>
      </c>
      <c r="F83" t="s">
        <v>21</v>
      </c>
      <c r="G83" t="s">
        <v>62</v>
      </c>
      <c r="H83" t="s">
        <v>23</v>
      </c>
      <c r="I83" t="s">
        <v>55</v>
      </c>
      <c r="J83" t="s">
        <v>56</v>
      </c>
      <c r="K83">
        <v>2</v>
      </c>
      <c r="L83">
        <v>48000</v>
      </c>
      <c r="M83">
        <v>31500</v>
      </c>
      <c r="N83">
        <v>0.15</v>
      </c>
      <c r="O83" t="s">
        <v>90</v>
      </c>
      <c r="P83" t="s">
        <v>48</v>
      </c>
    </row>
    <row r="84" spans="1:16" x14ac:dyDescent="0.25">
      <c r="A84" t="s">
        <v>240</v>
      </c>
      <c r="B84" t="s">
        <v>241</v>
      </c>
      <c r="C84" t="s">
        <v>18</v>
      </c>
      <c r="D84" t="s">
        <v>110</v>
      </c>
      <c r="E84" t="s">
        <v>111</v>
      </c>
      <c r="F84" t="s">
        <v>85</v>
      </c>
      <c r="G84" t="s">
        <v>44</v>
      </c>
      <c r="H84" t="s">
        <v>63</v>
      </c>
      <c r="I84" t="s">
        <v>70</v>
      </c>
      <c r="J84" t="s">
        <v>71</v>
      </c>
      <c r="K84">
        <v>10</v>
      </c>
      <c r="L84">
        <v>95000</v>
      </c>
      <c r="M84">
        <v>58900</v>
      </c>
      <c r="N84">
        <v>0</v>
      </c>
      <c r="O84" t="s">
        <v>148</v>
      </c>
      <c r="P84" t="s">
        <v>133</v>
      </c>
    </row>
    <row r="85" spans="1:16" x14ac:dyDescent="0.25">
      <c r="A85" t="s">
        <v>242</v>
      </c>
      <c r="B85" t="s">
        <v>223</v>
      </c>
      <c r="C85" t="s">
        <v>18</v>
      </c>
      <c r="D85" t="s">
        <v>83</v>
      </c>
      <c r="E85" t="s">
        <v>84</v>
      </c>
      <c r="F85" t="s">
        <v>85</v>
      </c>
      <c r="G85" t="s">
        <v>33</v>
      </c>
      <c r="H85" t="s">
        <v>63</v>
      </c>
      <c r="I85" t="s">
        <v>93</v>
      </c>
      <c r="J85" t="s">
        <v>46</v>
      </c>
      <c r="K85">
        <v>1</v>
      </c>
      <c r="L85">
        <v>104500</v>
      </c>
      <c r="M85">
        <v>77900</v>
      </c>
      <c r="N85">
        <v>0.05</v>
      </c>
      <c r="O85" t="s">
        <v>57</v>
      </c>
      <c r="P85" t="s">
        <v>27</v>
      </c>
    </row>
    <row r="86" spans="1:16" x14ac:dyDescent="0.25">
      <c r="A86" t="s">
        <v>243</v>
      </c>
      <c r="B86" t="s">
        <v>244</v>
      </c>
      <c r="C86" t="s">
        <v>18</v>
      </c>
      <c r="D86" t="s">
        <v>110</v>
      </c>
      <c r="E86" t="s">
        <v>111</v>
      </c>
      <c r="F86" t="s">
        <v>85</v>
      </c>
      <c r="G86" t="s">
        <v>44</v>
      </c>
      <c r="H86" t="s">
        <v>96</v>
      </c>
      <c r="I86" t="s">
        <v>55</v>
      </c>
      <c r="J86" t="s">
        <v>56</v>
      </c>
      <c r="K86">
        <v>15</v>
      </c>
      <c r="L86">
        <v>45600</v>
      </c>
      <c r="M86">
        <v>31500</v>
      </c>
      <c r="N86">
        <v>0.1</v>
      </c>
      <c r="O86" t="s">
        <v>57</v>
      </c>
      <c r="P86" t="s">
        <v>72</v>
      </c>
    </row>
    <row r="87" spans="1:16" x14ac:dyDescent="0.25">
      <c r="A87" t="s">
        <v>245</v>
      </c>
      <c r="B87" t="s">
        <v>246</v>
      </c>
      <c r="C87" t="s">
        <v>40</v>
      </c>
      <c r="D87" t="s">
        <v>88</v>
      </c>
      <c r="E87" t="s">
        <v>89</v>
      </c>
      <c r="F87" t="s">
        <v>43</v>
      </c>
      <c r="G87" t="s">
        <v>33</v>
      </c>
      <c r="H87" t="s">
        <v>34</v>
      </c>
      <c r="I87" t="s">
        <v>55</v>
      </c>
      <c r="J87" t="s">
        <v>56</v>
      </c>
      <c r="K87">
        <v>12</v>
      </c>
      <c r="L87">
        <v>48000</v>
      </c>
      <c r="M87">
        <v>30000</v>
      </c>
      <c r="N87">
        <v>0</v>
      </c>
      <c r="O87" t="s">
        <v>37</v>
      </c>
      <c r="P87" t="s">
        <v>27</v>
      </c>
    </row>
    <row r="88" spans="1:16" x14ac:dyDescent="0.25">
      <c r="A88" t="s">
        <v>247</v>
      </c>
      <c r="B88" t="s">
        <v>248</v>
      </c>
      <c r="C88" t="s">
        <v>30</v>
      </c>
      <c r="D88" t="s">
        <v>110</v>
      </c>
      <c r="E88" t="s">
        <v>111</v>
      </c>
      <c r="F88" t="s">
        <v>85</v>
      </c>
      <c r="G88" t="s">
        <v>44</v>
      </c>
      <c r="H88" t="s">
        <v>23</v>
      </c>
      <c r="I88" t="s">
        <v>93</v>
      </c>
      <c r="J88" t="s">
        <v>46</v>
      </c>
      <c r="K88">
        <v>2</v>
      </c>
      <c r="L88">
        <v>95000</v>
      </c>
      <c r="M88">
        <v>86100</v>
      </c>
      <c r="N88">
        <v>0.05</v>
      </c>
      <c r="O88" t="s">
        <v>26</v>
      </c>
      <c r="P88" t="s">
        <v>48</v>
      </c>
    </row>
    <row r="89" spans="1:16" x14ac:dyDescent="0.25">
      <c r="A89" t="s">
        <v>249</v>
      </c>
      <c r="B89" t="s">
        <v>250</v>
      </c>
      <c r="C89" t="s">
        <v>30</v>
      </c>
      <c r="D89" t="s">
        <v>83</v>
      </c>
      <c r="E89" t="s">
        <v>84</v>
      </c>
      <c r="F89" t="s">
        <v>85</v>
      </c>
      <c r="G89" t="s">
        <v>44</v>
      </c>
      <c r="H89" t="s">
        <v>112</v>
      </c>
      <c r="I89" t="s">
        <v>113</v>
      </c>
      <c r="J89" t="s">
        <v>36</v>
      </c>
      <c r="K89">
        <v>1</v>
      </c>
      <c r="L89">
        <v>168000</v>
      </c>
      <c r="M89">
        <v>120750</v>
      </c>
      <c r="N89">
        <v>0.15</v>
      </c>
      <c r="O89" t="s">
        <v>148</v>
      </c>
      <c r="P89" t="s">
        <v>72</v>
      </c>
    </row>
    <row r="90" spans="1:16" x14ac:dyDescent="0.25">
      <c r="A90" t="s">
        <v>251</v>
      </c>
      <c r="B90" t="s">
        <v>252</v>
      </c>
      <c r="C90" t="s">
        <v>40</v>
      </c>
      <c r="D90" t="s">
        <v>78</v>
      </c>
      <c r="E90" t="s">
        <v>79</v>
      </c>
      <c r="F90" t="s">
        <v>80</v>
      </c>
      <c r="G90" t="s">
        <v>22</v>
      </c>
      <c r="H90" t="s">
        <v>34</v>
      </c>
      <c r="I90" t="s">
        <v>75</v>
      </c>
      <c r="J90" t="s">
        <v>36</v>
      </c>
      <c r="K90">
        <v>12</v>
      </c>
      <c r="L90">
        <v>180000</v>
      </c>
      <c r="M90">
        <v>123500</v>
      </c>
      <c r="N90">
        <v>0.05</v>
      </c>
      <c r="O90" t="s">
        <v>26</v>
      </c>
      <c r="P90" t="s">
        <v>133</v>
      </c>
    </row>
    <row r="91" spans="1:16" x14ac:dyDescent="0.25">
      <c r="A91" t="s">
        <v>253</v>
      </c>
      <c r="B91" t="s">
        <v>254</v>
      </c>
      <c r="C91" t="s">
        <v>40</v>
      </c>
      <c r="D91" t="s">
        <v>157</v>
      </c>
      <c r="E91" t="s">
        <v>158</v>
      </c>
      <c r="F91" t="s">
        <v>21</v>
      </c>
      <c r="G91" t="s">
        <v>22</v>
      </c>
      <c r="H91" t="s">
        <v>63</v>
      </c>
      <c r="I91" t="s">
        <v>24</v>
      </c>
      <c r="J91" t="s">
        <v>25</v>
      </c>
      <c r="K91">
        <v>1</v>
      </c>
      <c r="L91">
        <v>24200</v>
      </c>
      <c r="M91">
        <v>13000</v>
      </c>
      <c r="N91">
        <v>0</v>
      </c>
      <c r="O91" t="s">
        <v>26</v>
      </c>
      <c r="P91" t="s">
        <v>27</v>
      </c>
    </row>
    <row r="92" spans="1:16" x14ac:dyDescent="0.25">
      <c r="A92" t="s">
        <v>255</v>
      </c>
      <c r="B92" t="s">
        <v>150</v>
      </c>
      <c r="C92" t="s">
        <v>18</v>
      </c>
      <c r="D92" t="s">
        <v>120</v>
      </c>
      <c r="E92" t="s">
        <v>121</v>
      </c>
      <c r="F92" t="s">
        <v>122</v>
      </c>
      <c r="G92" t="s">
        <v>44</v>
      </c>
      <c r="H92" t="s">
        <v>63</v>
      </c>
      <c r="I92" t="s">
        <v>105</v>
      </c>
      <c r="J92" t="s">
        <v>71</v>
      </c>
      <c r="K92">
        <v>5</v>
      </c>
      <c r="L92">
        <v>192500</v>
      </c>
      <c r="M92">
        <v>126000</v>
      </c>
      <c r="N92">
        <v>0.1</v>
      </c>
      <c r="O92" t="s">
        <v>64</v>
      </c>
      <c r="P92" t="s">
        <v>133</v>
      </c>
    </row>
    <row r="93" spans="1:16" x14ac:dyDescent="0.25">
      <c r="A93" t="s">
        <v>256</v>
      </c>
      <c r="B93" t="s">
        <v>257</v>
      </c>
      <c r="C93" t="s">
        <v>40</v>
      </c>
      <c r="D93" t="s">
        <v>19</v>
      </c>
      <c r="E93" t="s">
        <v>20</v>
      </c>
      <c r="F93" t="s">
        <v>21</v>
      </c>
      <c r="G93" t="s">
        <v>22</v>
      </c>
      <c r="H93" t="s">
        <v>96</v>
      </c>
      <c r="I93" t="s">
        <v>102</v>
      </c>
      <c r="J93" t="s">
        <v>25</v>
      </c>
      <c r="K93">
        <v>3</v>
      </c>
      <c r="L93">
        <v>37800</v>
      </c>
      <c r="M93">
        <v>24700</v>
      </c>
      <c r="N93">
        <v>0.05</v>
      </c>
      <c r="O93" t="s">
        <v>47</v>
      </c>
      <c r="P93" t="s">
        <v>27</v>
      </c>
    </row>
    <row r="94" spans="1:16" x14ac:dyDescent="0.25">
      <c r="A94" t="s">
        <v>258</v>
      </c>
      <c r="B94" t="s">
        <v>259</v>
      </c>
      <c r="C94" t="s">
        <v>30</v>
      </c>
      <c r="D94" t="s">
        <v>41</v>
      </c>
      <c r="E94" t="s">
        <v>42</v>
      </c>
      <c r="F94" t="s">
        <v>43</v>
      </c>
      <c r="G94" t="s">
        <v>44</v>
      </c>
      <c r="H94" t="s">
        <v>34</v>
      </c>
      <c r="I94" t="s">
        <v>35</v>
      </c>
      <c r="J94" t="s">
        <v>36</v>
      </c>
      <c r="K94">
        <v>2</v>
      </c>
      <c r="L94">
        <v>450000</v>
      </c>
      <c r="M94">
        <v>350000</v>
      </c>
      <c r="N94">
        <v>0</v>
      </c>
      <c r="O94" t="s">
        <v>90</v>
      </c>
      <c r="P94" t="s">
        <v>72</v>
      </c>
    </row>
    <row r="95" spans="1:16" x14ac:dyDescent="0.25">
      <c r="A95" t="s">
        <v>260</v>
      </c>
      <c r="B95" t="s">
        <v>130</v>
      </c>
      <c r="C95" t="s">
        <v>18</v>
      </c>
      <c r="D95" t="s">
        <v>131</v>
      </c>
      <c r="E95" t="s">
        <v>132</v>
      </c>
      <c r="F95" t="s">
        <v>80</v>
      </c>
      <c r="G95" t="s">
        <v>33</v>
      </c>
      <c r="H95" t="s">
        <v>63</v>
      </c>
      <c r="I95" t="s">
        <v>51</v>
      </c>
      <c r="J95" t="s">
        <v>36</v>
      </c>
      <c r="K95">
        <v>8</v>
      </c>
      <c r="L95">
        <v>280000</v>
      </c>
      <c r="M95">
        <v>210000</v>
      </c>
      <c r="N95">
        <v>0.05</v>
      </c>
      <c r="O95" t="s">
        <v>37</v>
      </c>
      <c r="P95" t="s">
        <v>48</v>
      </c>
    </row>
    <row r="96" spans="1:16" x14ac:dyDescent="0.25">
      <c r="A96" t="s">
        <v>261</v>
      </c>
      <c r="B96" t="s">
        <v>262</v>
      </c>
      <c r="C96" t="s">
        <v>18</v>
      </c>
      <c r="D96" t="s">
        <v>120</v>
      </c>
      <c r="E96" t="s">
        <v>121</v>
      </c>
      <c r="F96" t="s">
        <v>122</v>
      </c>
      <c r="G96" t="s">
        <v>22</v>
      </c>
      <c r="H96" t="s">
        <v>112</v>
      </c>
      <c r="I96" t="s">
        <v>70</v>
      </c>
      <c r="J96" t="s">
        <v>71</v>
      </c>
      <c r="K96">
        <v>1</v>
      </c>
      <c r="L96">
        <v>104500</v>
      </c>
      <c r="M96">
        <v>65100</v>
      </c>
      <c r="N96">
        <v>0</v>
      </c>
      <c r="O96" t="s">
        <v>47</v>
      </c>
      <c r="P96" t="s">
        <v>133</v>
      </c>
    </row>
    <row r="97" spans="1:16" x14ac:dyDescent="0.25">
      <c r="A97" t="s">
        <v>263</v>
      </c>
      <c r="B97" t="s">
        <v>264</v>
      </c>
      <c r="C97" t="s">
        <v>40</v>
      </c>
      <c r="D97" t="s">
        <v>41</v>
      </c>
      <c r="E97" t="s">
        <v>42</v>
      </c>
      <c r="F97" t="s">
        <v>43</v>
      </c>
      <c r="G97" t="s">
        <v>33</v>
      </c>
      <c r="H97" t="s">
        <v>96</v>
      </c>
      <c r="I97" t="s">
        <v>45</v>
      </c>
      <c r="J97" t="s">
        <v>46</v>
      </c>
      <c r="K97">
        <v>4</v>
      </c>
      <c r="L97">
        <v>18500</v>
      </c>
      <c r="M97">
        <v>14500</v>
      </c>
      <c r="N97">
        <v>0.05</v>
      </c>
      <c r="O97" t="s">
        <v>64</v>
      </c>
      <c r="P97" t="s">
        <v>48</v>
      </c>
    </row>
    <row r="98" spans="1:16" x14ac:dyDescent="0.25">
      <c r="A98" t="s">
        <v>265</v>
      </c>
      <c r="B98" t="s">
        <v>109</v>
      </c>
      <c r="C98" t="s">
        <v>40</v>
      </c>
      <c r="D98" t="s">
        <v>131</v>
      </c>
      <c r="E98" t="s">
        <v>132</v>
      </c>
      <c r="F98" t="s">
        <v>80</v>
      </c>
      <c r="G98" t="s">
        <v>22</v>
      </c>
      <c r="H98" t="s">
        <v>23</v>
      </c>
      <c r="I98" t="s">
        <v>55</v>
      </c>
      <c r="J98" t="s">
        <v>56</v>
      </c>
      <c r="K98">
        <v>2</v>
      </c>
      <c r="L98">
        <v>48000</v>
      </c>
      <c r="M98">
        <v>30000</v>
      </c>
      <c r="N98">
        <v>0</v>
      </c>
      <c r="O98" t="s">
        <v>148</v>
      </c>
      <c r="P98" t="s">
        <v>72</v>
      </c>
    </row>
    <row r="99" spans="1:16" x14ac:dyDescent="0.25">
      <c r="A99" t="s">
        <v>266</v>
      </c>
      <c r="B99" t="s">
        <v>267</v>
      </c>
      <c r="C99" t="s">
        <v>30</v>
      </c>
      <c r="D99" t="s">
        <v>136</v>
      </c>
      <c r="E99" t="s">
        <v>137</v>
      </c>
      <c r="F99" t="s">
        <v>122</v>
      </c>
      <c r="G99" t="s">
        <v>44</v>
      </c>
      <c r="H99" t="s">
        <v>23</v>
      </c>
      <c r="I99" t="s">
        <v>45</v>
      </c>
      <c r="J99" t="s">
        <v>46</v>
      </c>
      <c r="K99">
        <v>3</v>
      </c>
      <c r="L99">
        <v>18500</v>
      </c>
      <c r="M99">
        <v>14500</v>
      </c>
      <c r="N99">
        <v>0.1</v>
      </c>
      <c r="O99" t="s">
        <v>57</v>
      </c>
      <c r="P99" t="s">
        <v>48</v>
      </c>
    </row>
    <row r="100" spans="1:16" x14ac:dyDescent="0.25">
      <c r="A100" t="s">
        <v>268</v>
      </c>
      <c r="B100" t="s">
        <v>269</v>
      </c>
      <c r="C100" t="s">
        <v>30</v>
      </c>
      <c r="D100" t="s">
        <v>136</v>
      </c>
      <c r="E100" t="s">
        <v>137</v>
      </c>
      <c r="F100" t="s">
        <v>122</v>
      </c>
      <c r="G100" t="s">
        <v>22</v>
      </c>
      <c r="H100" t="s">
        <v>63</v>
      </c>
      <c r="I100" t="s">
        <v>24</v>
      </c>
      <c r="J100" t="s">
        <v>25</v>
      </c>
      <c r="K100">
        <v>6</v>
      </c>
      <c r="L100">
        <v>23100</v>
      </c>
      <c r="M100">
        <v>13000</v>
      </c>
      <c r="N100">
        <v>0.15</v>
      </c>
      <c r="O100" t="s">
        <v>37</v>
      </c>
      <c r="P100" t="s">
        <v>27</v>
      </c>
    </row>
    <row r="101" spans="1:16" x14ac:dyDescent="0.25">
      <c r="A101" t="s">
        <v>270</v>
      </c>
      <c r="B101" t="s">
        <v>271</v>
      </c>
      <c r="C101" t="s">
        <v>40</v>
      </c>
      <c r="D101" t="s">
        <v>131</v>
      </c>
      <c r="E101" t="s">
        <v>132</v>
      </c>
      <c r="F101" t="s">
        <v>80</v>
      </c>
      <c r="G101" t="s">
        <v>44</v>
      </c>
      <c r="H101" t="s">
        <v>34</v>
      </c>
      <c r="I101" t="s">
        <v>35</v>
      </c>
      <c r="J101" t="s">
        <v>36</v>
      </c>
      <c r="K101">
        <v>3</v>
      </c>
      <c r="L101">
        <v>427500</v>
      </c>
      <c r="M101">
        <v>332500</v>
      </c>
      <c r="N101">
        <v>0</v>
      </c>
      <c r="O101" t="s">
        <v>90</v>
      </c>
      <c r="P101" t="s">
        <v>27</v>
      </c>
    </row>
    <row r="102" spans="1:16" x14ac:dyDescent="0.25">
      <c r="A102" t="s">
        <v>272</v>
      </c>
      <c r="B102" t="s">
        <v>273</v>
      </c>
      <c r="C102" t="s">
        <v>30</v>
      </c>
      <c r="D102" t="s">
        <v>88</v>
      </c>
      <c r="E102" t="s">
        <v>89</v>
      </c>
      <c r="F102" t="s">
        <v>43</v>
      </c>
      <c r="G102" t="s">
        <v>62</v>
      </c>
      <c r="H102" t="s">
        <v>96</v>
      </c>
      <c r="I102" t="s">
        <v>93</v>
      </c>
      <c r="J102" t="s">
        <v>46</v>
      </c>
      <c r="K102">
        <v>4</v>
      </c>
      <c r="L102">
        <v>95000</v>
      </c>
      <c r="M102">
        <v>82000</v>
      </c>
      <c r="N102">
        <v>0</v>
      </c>
      <c r="O102" t="s">
        <v>37</v>
      </c>
      <c r="P102" t="s">
        <v>48</v>
      </c>
    </row>
    <row r="103" spans="1:16" x14ac:dyDescent="0.25">
      <c r="A103" t="s">
        <v>274</v>
      </c>
      <c r="B103" t="s">
        <v>275</v>
      </c>
      <c r="C103" t="s">
        <v>40</v>
      </c>
      <c r="D103" t="s">
        <v>157</v>
      </c>
      <c r="E103" t="s">
        <v>158</v>
      </c>
      <c r="F103" t="s">
        <v>21</v>
      </c>
      <c r="G103" t="s">
        <v>22</v>
      </c>
      <c r="H103" t="s">
        <v>63</v>
      </c>
      <c r="I103" t="s">
        <v>51</v>
      </c>
      <c r="J103" t="s">
        <v>36</v>
      </c>
      <c r="K103">
        <v>6</v>
      </c>
      <c r="L103">
        <v>266000</v>
      </c>
      <c r="M103">
        <v>220500</v>
      </c>
      <c r="N103">
        <v>0.1</v>
      </c>
      <c r="O103" t="s">
        <v>52</v>
      </c>
      <c r="P103" t="s">
        <v>48</v>
      </c>
    </row>
    <row r="104" spans="1:16" x14ac:dyDescent="0.25">
      <c r="A104" t="s">
        <v>276</v>
      </c>
      <c r="B104" t="s">
        <v>250</v>
      </c>
      <c r="C104" t="s">
        <v>40</v>
      </c>
      <c r="D104" t="s">
        <v>88</v>
      </c>
      <c r="E104" t="s">
        <v>89</v>
      </c>
      <c r="F104" t="s">
        <v>43</v>
      </c>
      <c r="G104" t="s">
        <v>22</v>
      </c>
      <c r="H104" t="s">
        <v>34</v>
      </c>
      <c r="I104" t="s">
        <v>97</v>
      </c>
      <c r="J104" t="s">
        <v>56</v>
      </c>
      <c r="K104">
        <v>5</v>
      </c>
      <c r="L104">
        <v>131250</v>
      </c>
      <c r="M104">
        <v>85000</v>
      </c>
      <c r="N104">
        <v>0.1</v>
      </c>
      <c r="O104" t="s">
        <v>37</v>
      </c>
      <c r="P104" t="s">
        <v>27</v>
      </c>
    </row>
    <row r="105" spans="1:16" x14ac:dyDescent="0.25">
      <c r="A105" t="s">
        <v>277</v>
      </c>
      <c r="B105" t="s">
        <v>278</v>
      </c>
      <c r="C105" t="s">
        <v>18</v>
      </c>
      <c r="D105" t="s">
        <v>131</v>
      </c>
      <c r="E105" t="s">
        <v>132</v>
      </c>
      <c r="F105" t="s">
        <v>80</v>
      </c>
      <c r="G105" t="s">
        <v>33</v>
      </c>
      <c r="H105" t="s">
        <v>63</v>
      </c>
      <c r="I105" t="s">
        <v>35</v>
      </c>
      <c r="J105" t="s">
        <v>36</v>
      </c>
      <c r="K105">
        <v>10</v>
      </c>
      <c r="L105">
        <v>450000</v>
      </c>
      <c r="M105">
        <v>350000</v>
      </c>
      <c r="N105">
        <v>0.1</v>
      </c>
      <c r="O105" t="s">
        <v>26</v>
      </c>
      <c r="P105" t="s">
        <v>27</v>
      </c>
    </row>
    <row r="106" spans="1:16" x14ac:dyDescent="0.25">
      <c r="A106" t="s">
        <v>279</v>
      </c>
      <c r="B106" t="s">
        <v>238</v>
      </c>
      <c r="C106" t="s">
        <v>18</v>
      </c>
      <c r="D106" t="s">
        <v>157</v>
      </c>
      <c r="E106" t="s">
        <v>158</v>
      </c>
      <c r="F106" t="s">
        <v>21</v>
      </c>
      <c r="G106" t="s">
        <v>44</v>
      </c>
      <c r="H106" t="s">
        <v>112</v>
      </c>
      <c r="I106" t="s">
        <v>51</v>
      </c>
      <c r="J106" t="s">
        <v>36</v>
      </c>
      <c r="K106">
        <v>1</v>
      </c>
      <c r="L106">
        <v>252000</v>
      </c>
      <c r="M106">
        <v>210000</v>
      </c>
      <c r="N106">
        <v>0.05</v>
      </c>
      <c r="O106" t="s">
        <v>37</v>
      </c>
      <c r="P106" t="s">
        <v>48</v>
      </c>
    </row>
    <row r="107" spans="1:16" x14ac:dyDescent="0.25">
      <c r="A107" t="s">
        <v>280</v>
      </c>
      <c r="B107" t="s">
        <v>281</v>
      </c>
      <c r="C107" t="s">
        <v>30</v>
      </c>
      <c r="D107" t="s">
        <v>120</v>
      </c>
      <c r="E107" t="s">
        <v>121</v>
      </c>
      <c r="F107" t="s">
        <v>122</v>
      </c>
      <c r="G107" t="s">
        <v>22</v>
      </c>
      <c r="H107" t="s">
        <v>112</v>
      </c>
      <c r="I107" t="s">
        <v>105</v>
      </c>
      <c r="J107" t="s">
        <v>71</v>
      </c>
      <c r="K107">
        <v>12</v>
      </c>
      <c r="L107">
        <v>183750</v>
      </c>
      <c r="M107">
        <v>126000</v>
      </c>
      <c r="N107">
        <v>0.1</v>
      </c>
      <c r="O107" t="s">
        <v>26</v>
      </c>
      <c r="P107" t="s">
        <v>72</v>
      </c>
    </row>
    <row r="108" spans="1:16" x14ac:dyDescent="0.25">
      <c r="A108" t="s">
        <v>282</v>
      </c>
      <c r="B108" t="s">
        <v>283</v>
      </c>
      <c r="C108" t="s">
        <v>18</v>
      </c>
      <c r="D108" t="s">
        <v>31</v>
      </c>
      <c r="E108" t="s">
        <v>32</v>
      </c>
      <c r="F108" t="s">
        <v>21</v>
      </c>
      <c r="G108" t="s">
        <v>62</v>
      </c>
      <c r="H108" t="s">
        <v>23</v>
      </c>
      <c r="I108" t="s">
        <v>70</v>
      </c>
      <c r="J108" t="s">
        <v>71</v>
      </c>
      <c r="K108">
        <v>5</v>
      </c>
      <c r="L108">
        <v>90250</v>
      </c>
      <c r="M108">
        <v>65100</v>
      </c>
      <c r="N108">
        <v>0.05</v>
      </c>
      <c r="O108" t="s">
        <v>47</v>
      </c>
      <c r="P108" t="s">
        <v>48</v>
      </c>
    </row>
    <row r="109" spans="1:16" x14ac:dyDescent="0.25">
      <c r="A109" t="s">
        <v>284</v>
      </c>
      <c r="B109" t="s">
        <v>211</v>
      </c>
      <c r="C109" t="s">
        <v>30</v>
      </c>
      <c r="D109" t="s">
        <v>83</v>
      </c>
      <c r="E109" t="s">
        <v>84</v>
      </c>
      <c r="F109" t="s">
        <v>85</v>
      </c>
      <c r="G109" t="s">
        <v>22</v>
      </c>
      <c r="H109" t="s">
        <v>96</v>
      </c>
      <c r="I109" t="s">
        <v>35</v>
      </c>
      <c r="J109" t="s">
        <v>36</v>
      </c>
      <c r="K109">
        <v>2</v>
      </c>
      <c r="L109">
        <v>405000</v>
      </c>
      <c r="M109">
        <v>367500</v>
      </c>
      <c r="N109">
        <v>0</v>
      </c>
      <c r="O109" t="s">
        <v>47</v>
      </c>
      <c r="P109" t="s">
        <v>48</v>
      </c>
    </row>
    <row r="110" spans="1:16" x14ac:dyDescent="0.25">
      <c r="A110" t="s">
        <v>285</v>
      </c>
      <c r="B110" t="s">
        <v>286</v>
      </c>
      <c r="C110" t="s">
        <v>18</v>
      </c>
      <c r="D110" t="s">
        <v>157</v>
      </c>
      <c r="E110" t="s">
        <v>158</v>
      </c>
      <c r="F110" t="s">
        <v>21</v>
      </c>
      <c r="G110" t="s">
        <v>44</v>
      </c>
      <c r="H110" t="s">
        <v>63</v>
      </c>
      <c r="I110" t="s">
        <v>113</v>
      </c>
      <c r="J110" t="s">
        <v>36</v>
      </c>
      <c r="K110">
        <v>6</v>
      </c>
      <c r="L110">
        <v>152000</v>
      </c>
      <c r="M110">
        <v>109250</v>
      </c>
      <c r="N110">
        <v>0.1</v>
      </c>
      <c r="O110" t="s">
        <v>90</v>
      </c>
      <c r="P110" t="s">
        <v>133</v>
      </c>
    </row>
    <row r="111" spans="1:16" x14ac:dyDescent="0.25">
      <c r="A111" t="s">
        <v>287</v>
      </c>
      <c r="B111" t="s">
        <v>288</v>
      </c>
      <c r="C111" t="s">
        <v>18</v>
      </c>
      <c r="D111" t="s">
        <v>31</v>
      </c>
      <c r="E111" t="s">
        <v>32</v>
      </c>
      <c r="F111" t="s">
        <v>21</v>
      </c>
      <c r="G111" t="s">
        <v>22</v>
      </c>
      <c r="H111" t="s">
        <v>34</v>
      </c>
      <c r="I111" t="s">
        <v>45</v>
      </c>
      <c r="J111" t="s">
        <v>46</v>
      </c>
      <c r="K111">
        <v>2</v>
      </c>
      <c r="L111">
        <v>17575</v>
      </c>
      <c r="M111">
        <v>14500</v>
      </c>
      <c r="N111">
        <v>0.1</v>
      </c>
      <c r="O111" t="s">
        <v>148</v>
      </c>
      <c r="P111" t="s">
        <v>48</v>
      </c>
    </row>
    <row r="112" spans="1:16" x14ac:dyDescent="0.25">
      <c r="A112" t="s">
        <v>289</v>
      </c>
      <c r="B112" t="s">
        <v>290</v>
      </c>
      <c r="C112" t="s">
        <v>30</v>
      </c>
      <c r="D112" t="s">
        <v>60</v>
      </c>
      <c r="E112" t="s">
        <v>61</v>
      </c>
      <c r="F112" t="s">
        <v>43</v>
      </c>
      <c r="G112" t="s">
        <v>33</v>
      </c>
      <c r="H112" t="s">
        <v>23</v>
      </c>
      <c r="I112" t="s">
        <v>105</v>
      </c>
      <c r="J112" t="s">
        <v>71</v>
      </c>
      <c r="K112">
        <v>4</v>
      </c>
      <c r="L112">
        <v>157500</v>
      </c>
      <c r="M112">
        <v>120000</v>
      </c>
      <c r="N112">
        <v>0</v>
      </c>
      <c r="O112" t="s">
        <v>52</v>
      </c>
      <c r="P112" t="s">
        <v>48</v>
      </c>
    </row>
    <row r="113" spans="1:16" x14ac:dyDescent="0.25">
      <c r="A113" t="s">
        <v>291</v>
      </c>
      <c r="B113" t="s">
        <v>292</v>
      </c>
      <c r="C113" t="s">
        <v>40</v>
      </c>
      <c r="D113" t="s">
        <v>19</v>
      </c>
      <c r="E113" t="s">
        <v>20</v>
      </c>
      <c r="F113" t="s">
        <v>21</v>
      </c>
      <c r="G113" t="s">
        <v>44</v>
      </c>
      <c r="H113" t="s">
        <v>23</v>
      </c>
      <c r="I113" t="s">
        <v>102</v>
      </c>
      <c r="J113" t="s">
        <v>25</v>
      </c>
      <c r="K113">
        <v>3</v>
      </c>
      <c r="L113">
        <v>46200</v>
      </c>
      <c r="M113">
        <v>26000</v>
      </c>
      <c r="N113">
        <v>0.1</v>
      </c>
      <c r="O113" t="s">
        <v>148</v>
      </c>
      <c r="P113" t="s">
        <v>48</v>
      </c>
    </row>
    <row r="114" spans="1:16" x14ac:dyDescent="0.25">
      <c r="A114" t="s">
        <v>293</v>
      </c>
      <c r="B114" t="s">
        <v>294</v>
      </c>
      <c r="C114" t="s">
        <v>40</v>
      </c>
      <c r="D114" t="s">
        <v>120</v>
      </c>
      <c r="E114" t="s">
        <v>121</v>
      </c>
      <c r="F114" t="s">
        <v>122</v>
      </c>
      <c r="G114" t="s">
        <v>22</v>
      </c>
      <c r="H114" t="s">
        <v>112</v>
      </c>
      <c r="I114" t="s">
        <v>102</v>
      </c>
      <c r="J114" t="s">
        <v>25</v>
      </c>
      <c r="K114">
        <v>4</v>
      </c>
      <c r="L114">
        <v>42000</v>
      </c>
      <c r="M114">
        <v>24700</v>
      </c>
      <c r="N114">
        <v>0</v>
      </c>
      <c r="O114" t="s">
        <v>37</v>
      </c>
      <c r="P114" t="s">
        <v>72</v>
      </c>
    </row>
    <row r="115" spans="1:16" x14ac:dyDescent="0.25">
      <c r="A115" t="s">
        <v>295</v>
      </c>
      <c r="B115" t="s">
        <v>296</v>
      </c>
      <c r="C115" t="s">
        <v>30</v>
      </c>
      <c r="D115" t="s">
        <v>19</v>
      </c>
      <c r="E115" t="s">
        <v>20</v>
      </c>
      <c r="F115" t="s">
        <v>21</v>
      </c>
      <c r="G115" t="s">
        <v>62</v>
      </c>
      <c r="H115" t="s">
        <v>112</v>
      </c>
      <c r="I115" t="s">
        <v>51</v>
      </c>
      <c r="J115" t="s">
        <v>36</v>
      </c>
      <c r="K115">
        <v>2</v>
      </c>
      <c r="L115">
        <v>266000</v>
      </c>
      <c r="M115">
        <v>199500</v>
      </c>
      <c r="N115">
        <v>0</v>
      </c>
      <c r="O115" t="s">
        <v>57</v>
      </c>
      <c r="P115" t="s">
        <v>133</v>
      </c>
    </row>
    <row r="116" spans="1:16" x14ac:dyDescent="0.25">
      <c r="A116" t="s">
        <v>297</v>
      </c>
      <c r="B116" t="s">
        <v>298</v>
      </c>
      <c r="C116" t="s">
        <v>30</v>
      </c>
      <c r="D116" t="s">
        <v>78</v>
      </c>
      <c r="E116" t="s">
        <v>79</v>
      </c>
      <c r="F116" t="s">
        <v>80</v>
      </c>
      <c r="G116" t="s">
        <v>44</v>
      </c>
      <c r="H116" t="s">
        <v>112</v>
      </c>
      <c r="I116" t="s">
        <v>97</v>
      </c>
      <c r="J116" t="s">
        <v>56</v>
      </c>
      <c r="K116">
        <v>4</v>
      </c>
      <c r="L116">
        <v>112500</v>
      </c>
      <c r="M116">
        <v>80750</v>
      </c>
      <c r="N116">
        <v>0.15</v>
      </c>
      <c r="O116" t="s">
        <v>37</v>
      </c>
      <c r="P116" t="s">
        <v>133</v>
      </c>
    </row>
    <row r="117" spans="1:16" x14ac:dyDescent="0.25">
      <c r="A117" t="s">
        <v>299</v>
      </c>
      <c r="B117" t="s">
        <v>300</v>
      </c>
      <c r="C117" t="s">
        <v>40</v>
      </c>
      <c r="D117" t="s">
        <v>83</v>
      </c>
      <c r="E117" t="s">
        <v>84</v>
      </c>
      <c r="F117" t="s">
        <v>85</v>
      </c>
      <c r="G117" t="s">
        <v>62</v>
      </c>
      <c r="H117" t="s">
        <v>63</v>
      </c>
      <c r="I117" t="s">
        <v>113</v>
      </c>
      <c r="J117" t="s">
        <v>36</v>
      </c>
      <c r="K117">
        <v>2</v>
      </c>
      <c r="L117">
        <v>160000</v>
      </c>
      <c r="M117">
        <v>120750</v>
      </c>
      <c r="N117">
        <v>0.05</v>
      </c>
      <c r="O117" t="s">
        <v>47</v>
      </c>
      <c r="P117" t="s">
        <v>48</v>
      </c>
    </row>
    <row r="118" spans="1:16" x14ac:dyDescent="0.25">
      <c r="A118" t="s">
        <v>301</v>
      </c>
      <c r="B118" t="s">
        <v>302</v>
      </c>
      <c r="C118" t="s">
        <v>18</v>
      </c>
      <c r="D118" t="s">
        <v>120</v>
      </c>
      <c r="E118" t="s">
        <v>121</v>
      </c>
      <c r="F118" t="s">
        <v>122</v>
      </c>
      <c r="G118" t="s">
        <v>62</v>
      </c>
      <c r="H118" t="s">
        <v>34</v>
      </c>
      <c r="I118" t="s">
        <v>75</v>
      </c>
      <c r="J118" t="s">
        <v>36</v>
      </c>
      <c r="K118">
        <v>10</v>
      </c>
      <c r="L118">
        <v>162000</v>
      </c>
      <c r="M118">
        <v>123500</v>
      </c>
      <c r="N118">
        <v>0</v>
      </c>
      <c r="O118" t="s">
        <v>148</v>
      </c>
      <c r="P118" t="s">
        <v>72</v>
      </c>
    </row>
    <row r="119" spans="1:16" x14ac:dyDescent="0.25">
      <c r="A119" t="s">
        <v>303</v>
      </c>
      <c r="B119" t="s">
        <v>304</v>
      </c>
      <c r="C119" t="s">
        <v>40</v>
      </c>
      <c r="D119" t="s">
        <v>78</v>
      </c>
      <c r="E119" t="s">
        <v>79</v>
      </c>
      <c r="F119" t="s">
        <v>80</v>
      </c>
      <c r="G119" t="s">
        <v>22</v>
      </c>
      <c r="H119" t="s">
        <v>63</v>
      </c>
      <c r="I119" t="s">
        <v>45</v>
      </c>
      <c r="J119" t="s">
        <v>46</v>
      </c>
      <c r="K119">
        <v>4</v>
      </c>
      <c r="L119">
        <v>19425</v>
      </c>
      <c r="M119">
        <v>13775</v>
      </c>
      <c r="N119">
        <v>0.05</v>
      </c>
      <c r="O119" t="s">
        <v>57</v>
      </c>
      <c r="P119" t="s">
        <v>27</v>
      </c>
    </row>
    <row r="120" spans="1:16" x14ac:dyDescent="0.25">
      <c r="A120" t="s">
        <v>305</v>
      </c>
      <c r="B120" t="s">
        <v>273</v>
      </c>
      <c r="C120" t="s">
        <v>18</v>
      </c>
      <c r="D120" t="s">
        <v>19</v>
      </c>
      <c r="E120" t="s">
        <v>20</v>
      </c>
      <c r="F120" t="s">
        <v>21</v>
      </c>
      <c r="G120" t="s">
        <v>62</v>
      </c>
      <c r="H120" t="s">
        <v>23</v>
      </c>
      <c r="I120" t="s">
        <v>105</v>
      </c>
      <c r="J120" t="s">
        <v>71</v>
      </c>
      <c r="K120">
        <v>4</v>
      </c>
      <c r="L120">
        <v>166250</v>
      </c>
      <c r="M120">
        <v>120000</v>
      </c>
      <c r="N120">
        <v>0.15</v>
      </c>
      <c r="O120" t="s">
        <v>47</v>
      </c>
      <c r="P120" t="s">
        <v>48</v>
      </c>
    </row>
    <row r="121" spans="1:16" x14ac:dyDescent="0.25">
      <c r="A121" t="s">
        <v>306</v>
      </c>
      <c r="B121" t="s">
        <v>307</v>
      </c>
      <c r="C121" t="s">
        <v>30</v>
      </c>
      <c r="D121" t="s">
        <v>41</v>
      </c>
      <c r="E121" t="s">
        <v>42</v>
      </c>
      <c r="F121" t="s">
        <v>43</v>
      </c>
      <c r="G121" t="s">
        <v>22</v>
      </c>
      <c r="H121" t="s">
        <v>23</v>
      </c>
      <c r="I121" t="s">
        <v>51</v>
      </c>
      <c r="J121" t="s">
        <v>36</v>
      </c>
      <c r="K121">
        <v>4</v>
      </c>
      <c r="L121">
        <v>308000</v>
      </c>
      <c r="M121">
        <v>220500</v>
      </c>
      <c r="N121">
        <v>0.1</v>
      </c>
      <c r="O121" t="s">
        <v>57</v>
      </c>
      <c r="P121" t="s">
        <v>133</v>
      </c>
    </row>
    <row r="122" spans="1:16" x14ac:dyDescent="0.25">
      <c r="A122" t="s">
        <v>308</v>
      </c>
      <c r="B122" t="s">
        <v>309</v>
      </c>
      <c r="C122" t="s">
        <v>18</v>
      </c>
      <c r="D122" t="s">
        <v>157</v>
      </c>
      <c r="E122" t="s">
        <v>158</v>
      </c>
      <c r="F122" t="s">
        <v>21</v>
      </c>
      <c r="G122" t="s">
        <v>44</v>
      </c>
      <c r="H122" t="s">
        <v>23</v>
      </c>
      <c r="I122" t="s">
        <v>35</v>
      </c>
      <c r="J122" t="s">
        <v>36</v>
      </c>
      <c r="K122">
        <v>2</v>
      </c>
      <c r="L122">
        <v>495000</v>
      </c>
      <c r="M122">
        <v>350000</v>
      </c>
      <c r="N122">
        <v>0</v>
      </c>
      <c r="O122" t="s">
        <v>26</v>
      </c>
      <c r="P122" t="s">
        <v>48</v>
      </c>
    </row>
    <row r="123" spans="1:16" x14ac:dyDescent="0.25">
      <c r="A123" t="s">
        <v>310</v>
      </c>
      <c r="B123" t="s">
        <v>259</v>
      </c>
      <c r="C123" t="s">
        <v>40</v>
      </c>
      <c r="D123" t="s">
        <v>157</v>
      </c>
      <c r="E123" t="s">
        <v>158</v>
      </c>
      <c r="F123" t="s">
        <v>21</v>
      </c>
      <c r="G123" t="s">
        <v>33</v>
      </c>
      <c r="H123" t="s">
        <v>112</v>
      </c>
      <c r="I123" t="s">
        <v>51</v>
      </c>
      <c r="J123" t="s">
        <v>36</v>
      </c>
      <c r="K123">
        <v>6</v>
      </c>
      <c r="L123">
        <v>252000</v>
      </c>
      <c r="M123">
        <v>199500</v>
      </c>
      <c r="N123">
        <v>0.15</v>
      </c>
      <c r="O123" t="s">
        <v>47</v>
      </c>
      <c r="P123" t="s">
        <v>48</v>
      </c>
    </row>
    <row r="124" spans="1:16" x14ac:dyDescent="0.25">
      <c r="A124" t="s">
        <v>311</v>
      </c>
      <c r="B124" t="s">
        <v>281</v>
      </c>
      <c r="C124" t="s">
        <v>30</v>
      </c>
      <c r="D124" t="s">
        <v>88</v>
      </c>
      <c r="E124" t="s">
        <v>89</v>
      </c>
      <c r="F124" t="s">
        <v>312</v>
      </c>
      <c r="G124" t="s">
        <v>22</v>
      </c>
      <c r="H124" t="s">
        <v>96</v>
      </c>
      <c r="I124" t="s">
        <v>75</v>
      </c>
      <c r="J124" t="s">
        <v>36</v>
      </c>
      <c r="K124">
        <v>2</v>
      </c>
      <c r="L124">
        <v>180000</v>
      </c>
      <c r="M124">
        <v>123500</v>
      </c>
      <c r="N124">
        <v>0</v>
      </c>
      <c r="O124" t="s">
        <v>57</v>
      </c>
      <c r="P124" t="s">
        <v>48</v>
      </c>
    </row>
    <row r="125" spans="1:16" x14ac:dyDescent="0.25">
      <c r="A125" t="s">
        <v>313</v>
      </c>
      <c r="B125" t="s">
        <v>314</v>
      </c>
      <c r="C125" t="s">
        <v>30</v>
      </c>
      <c r="D125" t="s">
        <v>120</v>
      </c>
      <c r="E125" t="s">
        <v>121</v>
      </c>
      <c r="F125" t="s">
        <v>122</v>
      </c>
      <c r="G125" t="s">
        <v>22</v>
      </c>
      <c r="H125" t="s">
        <v>63</v>
      </c>
      <c r="I125" t="s">
        <v>97</v>
      </c>
      <c r="J125" t="s">
        <v>56</v>
      </c>
      <c r="K125">
        <v>3</v>
      </c>
      <c r="L125">
        <v>125000</v>
      </c>
      <c r="M125">
        <v>89250</v>
      </c>
      <c r="N125">
        <v>0.05</v>
      </c>
      <c r="O125" t="s">
        <v>26</v>
      </c>
      <c r="P125" t="s">
        <v>48</v>
      </c>
    </row>
    <row r="126" spans="1:16" x14ac:dyDescent="0.25">
      <c r="A126" t="s">
        <v>315</v>
      </c>
      <c r="B126" t="s">
        <v>316</v>
      </c>
      <c r="C126" t="s">
        <v>18</v>
      </c>
      <c r="D126" t="s">
        <v>41</v>
      </c>
      <c r="E126" t="s">
        <v>42</v>
      </c>
      <c r="F126" t="s">
        <v>43</v>
      </c>
      <c r="G126" t="s">
        <v>44</v>
      </c>
      <c r="H126" t="s">
        <v>112</v>
      </c>
      <c r="I126" t="s">
        <v>51</v>
      </c>
      <c r="J126" t="s">
        <v>36</v>
      </c>
      <c r="K126">
        <v>5</v>
      </c>
      <c r="L126">
        <v>280000</v>
      </c>
      <c r="M126">
        <v>220500</v>
      </c>
      <c r="N126">
        <v>0.1</v>
      </c>
      <c r="O126" t="s">
        <v>148</v>
      </c>
      <c r="P126" t="s">
        <v>48</v>
      </c>
    </row>
    <row r="127" spans="1:16" x14ac:dyDescent="0.25">
      <c r="A127" t="s">
        <v>317</v>
      </c>
      <c r="B127" t="s">
        <v>318</v>
      </c>
      <c r="C127" t="s">
        <v>18</v>
      </c>
      <c r="D127" t="s">
        <v>60</v>
      </c>
      <c r="E127" t="s">
        <v>61</v>
      </c>
      <c r="F127" t="s">
        <v>43</v>
      </c>
      <c r="G127" t="s">
        <v>22</v>
      </c>
      <c r="H127" t="s">
        <v>112</v>
      </c>
      <c r="I127" t="s">
        <v>35</v>
      </c>
      <c r="J127" t="s">
        <v>36</v>
      </c>
      <c r="K127">
        <v>2</v>
      </c>
      <c r="L127">
        <v>427500</v>
      </c>
      <c r="M127">
        <v>350000</v>
      </c>
      <c r="N127">
        <v>0</v>
      </c>
      <c r="O127" t="s">
        <v>26</v>
      </c>
      <c r="P127" t="s">
        <v>48</v>
      </c>
    </row>
    <row r="128" spans="1:16" x14ac:dyDescent="0.25">
      <c r="A128" t="s">
        <v>319</v>
      </c>
      <c r="B128" t="s">
        <v>320</v>
      </c>
      <c r="C128" t="s">
        <v>40</v>
      </c>
      <c r="D128" t="s">
        <v>157</v>
      </c>
      <c r="E128" t="s">
        <v>158</v>
      </c>
      <c r="F128" t="s">
        <v>21</v>
      </c>
      <c r="G128" t="s">
        <v>22</v>
      </c>
      <c r="H128" t="s">
        <v>112</v>
      </c>
      <c r="I128" t="s">
        <v>75</v>
      </c>
      <c r="J128" t="s">
        <v>36</v>
      </c>
      <c r="K128">
        <v>3</v>
      </c>
      <c r="L128">
        <v>189000</v>
      </c>
      <c r="M128">
        <v>130000</v>
      </c>
      <c r="N128">
        <v>0.1</v>
      </c>
      <c r="O128" t="s">
        <v>148</v>
      </c>
      <c r="P128" t="s">
        <v>27</v>
      </c>
    </row>
    <row r="129" spans="1:16" x14ac:dyDescent="0.25">
      <c r="A129" t="s">
        <v>321</v>
      </c>
      <c r="B129" t="s">
        <v>322</v>
      </c>
      <c r="C129" t="s">
        <v>40</v>
      </c>
      <c r="D129" t="s">
        <v>31</v>
      </c>
      <c r="E129" t="s">
        <v>32</v>
      </c>
      <c r="F129" t="s">
        <v>21</v>
      </c>
      <c r="G129" t="s">
        <v>33</v>
      </c>
      <c r="H129" t="s">
        <v>63</v>
      </c>
      <c r="I129" t="s">
        <v>55</v>
      </c>
      <c r="J129" t="s">
        <v>56</v>
      </c>
      <c r="K129">
        <v>3</v>
      </c>
      <c r="L129">
        <v>43200</v>
      </c>
      <c r="M129">
        <v>30000</v>
      </c>
      <c r="N129">
        <v>0.1</v>
      </c>
      <c r="O129" t="s">
        <v>52</v>
      </c>
      <c r="P129" t="s">
        <v>133</v>
      </c>
    </row>
    <row r="130" spans="1:16" x14ac:dyDescent="0.25">
      <c r="A130" t="s">
        <v>323</v>
      </c>
      <c r="B130" t="s">
        <v>324</v>
      </c>
      <c r="C130" t="s">
        <v>40</v>
      </c>
      <c r="D130" t="s">
        <v>31</v>
      </c>
      <c r="E130" t="s">
        <v>32</v>
      </c>
      <c r="F130" t="s">
        <v>21</v>
      </c>
      <c r="G130" t="s">
        <v>22</v>
      </c>
      <c r="H130" t="s">
        <v>34</v>
      </c>
      <c r="I130" t="s">
        <v>55</v>
      </c>
      <c r="J130" t="s">
        <v>56</v>
      </c>
      <c r="K130">
        <v>12</v>
      </c>
      <c r="L130">
        <v>45600</v>
      </c>
      <c r="M130">
        <v>31500</v>
      </c>
      <c r="N130">
        <v>0.15</v>
      </c>
      <c r="O130" t="s">
        <v>26</v>
      </c>
      <c r="P130" t="s">
        <v>48</v>
      </c>
    </row>
    <row r="131" spans="1:16" x14ac:dyDescent="0.25">
      <c r="A131" t="s">
        <v>325</v>
      </c>
      <c r="B131" t="s">
        <v>326</v>
      </c>
      <c r="C131" t="s">
        <v>40</v>
      </c>
      <c r="D131" t="s">
        <v>83</v>
      </c>
      <c r="E131" t="s">
        <v>84</v>
      </c>
      <c r="F131" t="s">
        <v>85</v>
      </c>
      <c r="G131" t="s">
        <v>44</v>
      </c>
      <c r="H131" t="s">
        <v>96</v>
      </c>
      <c r="I131" t="s">
        <v>45</v>
      </c>
      <c r="J131" t="s">
        <v>46</v>
      </c>
      <c r="K131">
        <v>4</v>
      </c>
      <c r="L131">
        <v>18500</v>
      </c>
      <c r="M131">
        <v>14500</v>
      </c>
      <c r="N131">
        <v>0.15</v>
      </c>
      <c r="O131" t="s">
        <v>52</v>
      </c>
      <c r="P131" t="s">
        <v>48</v>
      </c>
    </row>
    <row r="132" spans="1:16" x14ac:dyDescent="0.25">
      <c r="A132" t="s">
        <v>327</v>
      </c>
      <c r="B132" t="s">
        <v>328</v>
      </c>
      <c r="C132" t="s">
        <v>18</v>
      </c>
      <c r="D132" t="s">
        <v>78</v>
      </c>
      <c r="E132" t="s">
        <v>79</v>
      </c>
      <c r="F132" t="s">
        <v>80</v>
      </c>
      <c r="G132" t="s">
        <v>22</v>
      </c>
      <c r="H132" t="s">
        <v>34</v>
      </c>
      <c r="I132" t="s">
        <v>93</v>
      </c>
      <c r="J132" t="s">
        <v>46</v>
      </c>
      <c r="K132">
        <v>2</v>
      </c>
      <c r="L132">
        <v>104500</v>
      </c>
      <c r="M132">
        <v>82000</v>
      </c>
      <c r="N132">
        <v>0</v>
      </c>
      <c r="O132" t="s">
        <v>57</v>
      </c>
      <c r="P132" t="s">
        <v>48</v>
      </c>
    </row>
    <row r="133" spans="1:16" x14ac:dyDescent="0.25">
      <c r="A133" t="s">
        <v>329</v>
      </c>
      <c r="B133" t="s">
        <v>330</v>
      </c>
      <c r="C133" t="s">
        <v>40</v>
      </c>
      <c r="D133" t="s">
        <v>157</v>
      </c>
      <c r="E133" t="s">
        <v>158</v>
      </c>
      <c r="F133" t="s">
        <v>21</v>
      </c>
      <c r="G133" t="s">
        <v>33</v>
      </c>
      <c r="H133" t="s">
        <v>23</v>
      </c>
      <c r="I133" t="s">
        <v>113</v>
      </c>
      <c r="J133" t="s">
        <v>36</v>
      </c>
      <c r="K133">
        <v>4</v>
      </c>
      <c r="L133">
        <v>176000</v>
      </c>
      <c r="M133">
        <v>109250</v>
      </c>
      <c r="N133">
        <v>0</v>
      </c>
      <c r="O133" t="s">
        <v>47</v>
      </c>
      <c r="P133" t="s">
        <v>72</v>
      </c>
    </row>
    <row r="134" spans="1:16" x14ac:dyDescent="0.25">
      <c r="A134" t="s">
        <v>331</v>
      </c>
      <c r="B134" t="s">
        <v>332</v>
      </c>
      <c r="C134" t="s">
        <v>40</v>
      </c>
      <c r="D134" t="s">
        <v>88</v>
      </c>
      <c r="E134" t="s">
        <v>89</v>
      </c>
      <c r="F134" t="s">
        <v>43</v>
      </c>
      <c r="G134" t="s">
        <v>22</v>
      </c>
      <c r="H134" t="s">
        <v>63</v>
      </c>
      <c r="I134" t="s">
        <v>24</v>
      </c>
      <c r="J134" t="s">
        <v>25</v>
      </c>
      <c r="K134">
        <v>1</v>
      </c>
      <c r="L134">
        <v>19800</v>
      </c>
      <c r="M134">
        <v>13650</v>
      </c>
      <c r="N134">
        <v>0.05</v>
      </c>
      <c r="O134" t="s">
        <v>52</v>
      </c>
      <c r="P134" t="s">
        <v>48</v>
      </c>
    </row>
    <row r="135" spans="1:16" x14ac:dyDescent="0.25">
      <c r="A135" t="s">
        <v>333</v>
      </c>
      <c r="B135" t="s">
        <v>334</v>
      </c>
      <c r="C135" t="s">
        <v>18</v>
      </c>
      <c r="D135" t="s">
        <v>110</v>
      </c>
      <c r="E135" t="s">
        <v>111</v>
      </c>
      <c r="F135" t="s">
        <v>85</v>
      </c>
      <c r="G135" t="s">
        <v>33</v>
      </c>
      <c r="H135" t="s">
        <v>112</v>
      </c>
      <c r="I135" t="s">
        <v>70</v>
      </c>
      <c r="J135" t="s">
        <v>71</v>
      </c>
      <c r="K135">
        <v>3</v>
      </c>
      <c r="L135">
        <v>85500</v>
      </c>
      <c r="M135">
        <v>62000</v>
      </c>
      <c r="N135">
        <v>0</v>
      </c>
      <c r="O135" t="s">
        <v>148</v>
      </c>
      <c r="P135" t="s">
        <v>27</v>
      </c>
    </row>
    <row r="136" spans="1:16" x14ac:dyDescent="0.25">
      <c r="A136" t="s">
        <v>335</v>
      </c>
      <c r="B136" t="s">
        <v>336</v>
      </c>
      <c r="C136" t="s">
        <v>40</v>
      </c>
      <c r="D136" t="s">
        <v>131</v>
      </c>
      <c r="E136" t="s">
        <v>132</v>
      </c>
      <c r="F136" t="s">
        <v>80</v>
      </c>
      <c r="G136" t="s">
        <v>22</v>
      </c>
      <c r="H136" t="s">
        <v>63</v>
      </c>
      <c r="I136" t="s">
        <v>97</v>
      </c>
      <c r="J136" t="s">
        <v>56</v>
      </c>
      <c r="K136">
        <v>5</v>
      </c>
      <c r="L136">
        <v>125000</v>
      </c>
      <c r="M136">
        <v>89250</v>
      </c>
      <c r="N136">
        <v>0.1</v>
      </c>
      <c r="O136" t="s">
        <v>52</v>
      </c>
      <c r="P136" t="s">
        <v>48</v>
      </c>
    </row>
    <row r="137" spans="1:16" x14ac:dyDescent="0.25">
      <c r="A137" t="s">
        <v>337</v>
      </c>
      <c r="B137" t="s">
        <v>338</v>
      </c>
      <c r="C137" t="s">
        <v>30</v>
      </c>
      <c r="D137" t="s">
        <v>120</v>
      </c>
      <c r="E137" t="s">
        <v>121</v>
      </c>
      <c r="F137" t="s">
        <v>122</v>
      </c>
      <c r="G137" t="s">
        <v>44</v>
      </c>
      <c r="H137" t="s">
        <v>63</v>
      </c>
      <c r="I137" t="s">
        <v>93</v>
      </c>
      <c r="J137" t="s">
        <v>46</v>
      </c>
      <c r="K137">
        <v>1</v>
      </c>
      <c r="L137">
        <v>90250</v>
      </c>
      <c r="M137">
        <v>86100</v>
      </c>
      <c r="N137">
        <v>0.05</v>
      </c>
      <c r="O137" t="s">
        <v>47</v>
      </c>
      <c r="P137" t="s">
        <v>133</v>
      </c>
    </row>
    <row r="138" spans="1:16" x14ac:dyDescent="0.25">
      <c r="A138" t="s">
        <v>339</v>
      </c>
      <c r="B138" t="s">
        <v>340</v>
      </c>
      <c r="C138" t="s">
        <v>18</v>
      </c>
      <c r="D138" t="s">
        <v>83</v>
      </c>
      <c r="E138" t="s">
        <v>84</v>
      </c>
      <c r="F138" t="s">
        <v>85</v>
      </c>
      <c r="G138" t="s">
        <v>62</v>
      </c>
      <c r="H138" t="s">
        <v>96</v>
      </c>
      <c r="I138" t="s">
        <v>70</v>
      </c>
      <c r="J138" t="s">
        <v>71</v>
      </c>
      <c r="K138">
        <v>3</v>
      </c>
      <c r="L138">
        <v>95000</v>
      </c>
      <c r="M138">
        <v>58900</v>
      </c>
      <c r="N138">
        <v>0.15</v>
      </c>
      <c r="O138" t="s">
        <v>26</v>
      </c>
      <c r="P138" t="s">
        <v>48</v>
      </c>
    </row>
    <row r="139" spans="1:16" x14ac:dyDescent="0.25">
      <c r="A139" t="s">
        <v>341</v>
      </c>
      <c r="B139" t="s">
        <v>342</v>
      </c>
      <c r="C139" t="s">
        <v>30</v>
      </c>
      <c r="D139" t="s">
        <v>41</v>
      </c>
      <c r="E139" t="s">
        <v>42</v>
      </c>
      <c r="F139" t="s">
        <v>43</v>
      </c>
      <c r="G139" t="s">
        <v>44</v>
      </c>
      <c r="H139" t="s">
        <v>63</v>
      </c>
      <c r="I139" t="s">
        <v>70</v>
      </c>
      <c r="J139" t="s">
        <v>71</v>
      </c>
      <c r="K139">
        <v>5</v>
      </c>
      <c r="L139">
        <v>99750</v>
      </c>
      <c r="M139">
        <v>62000</v>
      </c>
      <c r="N139">
        <v>0</v>
      </c>
      <c r="O139" t="s">
        <v>57</v>
      </c>
      <c r="P139" t="s">
        <v>133</v>
      </c>
    </row>
    <row r="140" spans="1:16" x14ac:dyDescent="0.25">
      <c r="A140" t="s">
        <v>343</v>
      </c>
      <c r="B140" t="s">
        <v>320</v>
      </c>
      <c r="C140" t="s">
        <v>30</v>
      </c>
      <c r="D140" t="s">
        <v>136</v>
      </c>
      <c r="E140" t="s">
        <v>137</v>
      </c>
      <c r="F140" t="s">
        <v>122</v>
      </c>
      <c r="G140" t="s">
        <v>62</v>
      </c>
      <c r="H140" t="s">
        <v>34</v>
      </c>
      <c r="I140" t="s">
        <v>24</v>
      </c>
      <c r="J140" t="s">
        <v>25</v>
      </c>
      <c r="K140">
        <v>5</v>
      </c>
      <c r="L140">
        <v>20900</v>
      </c>
      <c r="M140">
        <v>12350</v>
      </c>
      <c r="N140">
        <v>0</v>
      </c>
      <c r="O140" t="s">
        <v>52</v>
      </c>
      <c r="P140" t="s">
        <v>72</v>
      </c>
    </row>
    <row r="141" spans="1:16" x14ac:dyDescent="0.25">
      <c r="A141" t="s">
        <v>344</v>
      </c>
      <c r="B141" t="s">
        <v>345</v>
      </c>
      <c r="C141" t="s">
        <v>18</v>
      </c>
      <c r="D141" t="s">
        <v>120</v>
      </c>
      <c r="E141" t="s">
        <v>121</v>
      </c>
      <c r="F141" t="s">
        <v>122</v>
      </c>
      <c r="G141" t="s">
        <v>62</v>
      </c>
      <c r="H141" t="s">
        <v>112</v>
      </c>
      <c r="I141" t="s">
        <v>24</v>
      </c>
      <c r="J141" t="s">
        <v>25</v>
      </c>
      <c r="K141">
        <v>3</v>
      </c>
      <c r="L141">
        <v>22000</v>
      </c>
      <c r="M141">
        <v>12350</v>
      </c>
      <c r="N141">
        <v>0</v>
      </c>
      <c r="O141" t="s">
        <v>64</v>
      </c>
      <c r="P141" t="s">
        <v>48</v>
      </c>
    </row>
    <row r="142" spans="1:16" x14ac:dyDescent="0.25">
      <c r="A142" t="s">
        <v>346</v>
      </c>
      <c r="B142" t="s">
        <v>347</v>
      </c>
      <c r="C142" t="s">
        <v>30</v>
      </c>
      <c r="D142" t="s">
        <v>157</v>
      </c>
      <c r="E142" t="s">
        <v>158</v>
      </c>
      <c r="F142" t="s">
        <v>21</v>
      </c>
      <c r="G142" t="s">
        <v>22</v>
      </c>
      <c r="H142" t="s">
        <v>63</v>
      </c>
      <c r="I142" t="s">
        <v>113</v>
      </c>
      <c r="J142" t="s">
        <v>36</v>
      </c>
      <c r="K142">
        <v>1</v>
      </c>
      <c r="L142">
        <v>160000</v>
      </c>
      <c r="M142">
        <v>109250</v>
      </c>
      <c r="N142">
        <v>0.1</v>
      </c>
      <c r="O142" t="s">
        <v>90</v>
      </c>
      <c r="P142" t="s">
        <v>27</v>
      </c>
    </row>
    <row r="143" spans="1:16" x14ac:dyDescent="0.25">
      <c r="A143" t="s">
        <v>348</v>
      </c>
      <c r="B143" t="s">
        <v>349</v>
      </c>
      <c r="C143" t="s">
        <v>40</v>
      </c>
      <c r="D143" t="s">
        <v>83</v>
      </c>
      <c r="E143" t="s">
        <v>84</v>
      </c>
      <c r="F143" t="s">
        <v>85</v>
      </c>
      <c r="G143" t="s">
        <v>62</v>
      </c>
      <c r="H143" t="s">
        <v>34</v>
      </c>
      <c r="I143" t="s">
        <v>45</v>
      </c>
      <c r="J143" t="s">
        <v>46</v>
      </c>
      <c r="K143">
        <v>1</v>
      </c>
      <c r="L143">
        <v>17575</v>
      </c>
      <c r="M143">
        <v>14500</v>
      </c>
      <c r="N143">
        <v>0.15</v>
      </c>
      <c r="O143" t="s">
        <v>37</v>
      </c>
      <c r="P143" t="s">
        <v>48</v>
      </c>
    </row>
    <row r="144" spans="1:16" x14ac:dyDescent="0.25">
      <c r="A144" t="s">
        <v>350</v>
      </c>
      <c r="B144" t="s">
        <v>351</v>
      </c>
      <c r="C144" t="s">
        <v>40</v>
      </c>
      <c r="D144" t="s">
        <v>41</v>
      </c>
      <c r="E144" t="s">
        <v>42</v>
      </c>
      <c r="F144" t="s">
        <v>43</v>
      </c>
      <c r="G144" t="s">
        <v>33</v>
      </c>
      <c r="H144" t="s">
        <v>34</v>
      </c>
      <c r="I144" t="s">
        <v>45</v>
      </c>
      <c r="J144" t="s">
        <v>46</v>
      </c>
      <c r="K144">
        <v>6</v>
      </c>
      <c r="L144">
        <v>20350</v>
      </c>
      <c r="M144">
        <v>15225</v>
      </c>
      <c r="N144">
        <v>0</v>
      </c>
      <c r="O144" t="s">
        <v>47</v>
      </c>
      <c r="P144" t="s">
        <v>48</v>
      </c>
    </row>
    <row r="145" spans="1:16" x14ac:dyDescent="0.25">
      <c r="A145" t="s">
        <v>352</v>
      </c>
      <c r="B145" t="s">
        <v>353</v>
      </c>
      <c r="C145" t="s">
        <v>40</v>
      </c>
      <c r="D145" t="s">
        <v>131</v>
      </c>
      <c r="E145" t="s">
        <v>132</v>
      </c>
      <c r="F145" t="s">
        <v>80</v>
      </c>
      <c r="G145" t="s">
        <v>44</v>
      </c>
      <c r="H145" t="s">
        <v>34</v>
      </c>
      <c r="I145" t="s">
        <v>24</v>
      </c>
      <c r="J145" t="s">
        <v>25</v>
      </c>
      <c r="K145">
        <v>15</v>
      </c>
      <c r="L145">
        <v>22000</v>
      </c>
      <c r="M145">
        <v>13000</v>
      </c>
      <c r="N145">
        <v>0.05</v>
      </c>
      <c r="O145" t="s">
        <v>90</v>
      </c>
      <c r="P145" t="s">
        <v>133</v>
      </c>
    </row>
    <row r="146" spans="1:16" x14ac:dyDescent="0.25">
      <c r="A146" t="s">
        <v>354</v>
      </c>
      <c r="B146" t="s">
        <v>355</v>
      </c>
      <c r="C146" t="s">
        <v>30</v>
      </c>
      <c r="D146" t="s">
        <v>31</v>
      </c>
      <c r="E146" t="s">
        <v>32</v>
      </c>
      <c r="F146" t="s">
        <v>21</v>
      </c>
      <c r="G146" t="s">
        <v>22</v>
      </c>
      <c r="H146" t="s">
        <v>63</v>
      </c>
      <c r="I146" t="s">
        <v>70</v>
      </c>
      <c r="J146" t="s">
        <v>71</v>
      </c>
      <c r="K146">
        <v>5</v>
      </c>
      <c r="L146">
        <v>104500</v>
      </c>
      <c r="M146">
        <v>62000</v>
      </c>
      <c r="N146">
        <v>0.1</v>
      </c>
      <c r="O146" t="s">
        <v>52</v>
      </c>
      <c r="P146" t="s">
        <v>27</v>
      </c>
    </row>
    <row r="147" spans="1:16" x14ac:dyDescent="0.25">
      <c r="A147" t="s">
        <v>356</v>
      </c>
      <c r="B147" t="s">
        <v>357</v>
      </c>
      <c r="C147" t="s">
        <v>40</v>
      </c>
      <c r="D147" t="s">
        <v>41</v>
      </c>
      <c r="E147" t="s">
        <v>42</v>
      </c>
      <c r="F147" t="s">
        <v>43</v>
      </c>
      <c r="G147" t="s">
        <v>62</v>
      </c>
      <c r="H147" t="s">
        <v>96</v>
      </c>
      <c r="I147" t="s">
        <v>75</v>
      </c>
      <c r="J147" t="s">
        <v>36</v>
      </c>
      <c r="K147">
        <v>3</v>
      </c>
      <c r="L147">
        <v>180000</v>
      </c>
      <c r="M147">
        <v>130000</v>
      </c>
      <c r="N147">
        <v>0.05</v>
      </c>
      <c r="O147" t="s">
        <v>26</v>
      </c>
      <c r="P147" t="s">
        <v>48</v>
      </c>
    </row>
    <row r="148" spans="1:16" x14ac:dyDescent="0.25">
      <c r="A148" t="s">
        <v>358</v>
      </c>
      <c r="B148" t="s">
        <v>92</v>
      </c>
      <c r="C148" t="s">
        <v>18</v>
      </c>
      <c r="D148" t="s">
        <v>83</v>
      </c>
      <c r="E148" t="s">
        <v>84</v>
      </c>
      <c r="F148" t="s">
        <v>85</v>
      </c>
      <c r="G148" t="s">
        <v>62</v>
      </c>
      <c r="H148" t="s">
        <v>96</v>
      </c>
      <c r="I148" t="s">
        <v>35</v>
      </c>
      <c r="J148" t="s">
        <v>36</v>
      </c>
      <c r="K148">
        <v>3</v>
      </c>
      <c r="L148">
        <v>427500</v>
      </c>
      <c r="M148">
        <v>367500</v>
      </c>
      <c r="N148">
        <v>0</v>
      </c>
      <c r="O148" t="s">
        <v>47</v>
      </c>
      <c r="P148" t="s">
        <v>48</v>
      </c>
    </row>
    <row r="149" spans="1:16" x14ac:dyDescent="0.25">
      <c r="A149" t="s">
        <v>359</v>
      </c>
      <c r="B149" t="s">
        <v>17</v>
      </c>
      <c r="C149" t="s">
        <v>40</v>
      </c>
      <c r="D149" t="s">
        <v>157</v>
      </c>
      <c r="E149" t="s">
        <v>158</v>
      </c>
      <c r="F149" t="s">
        <v>21</v>
      </c>
      <c r="G149" t="s">
        <v>33</v>
      </c>
      <c r="H149" t="s">
        <v>23</v>
      </c>
      <c r="I149" t="s">
        <v>75</v>
      </c>
      <c r="J149" t="s">
        <v>36</v>
      </c>
      <c r="K149">
        <v>1</v>
      </c>
      <c r="L149">
        <v>198000</v>
      </c>
      <c r="M149">
        <v>136500</v>
      </c>
      <c r="N149">
        <v>0.15</v>
      </c>
      <c r="O149" t="s">
        <v>148</v>
      </c>
      <c r="P149" t="s">
        <v>27</v>
      </c>
    </row>
    <row r="150" spans="1:16" x14ac:dyDescent="0.25">
      <c r="A150" t="s">
        <v>360</v>
      </c>
      <c r="B150" t="s">
        <v>361</v>
      </c>
      <c r="C150" t="s">
        <v>40</v>
      </c>
      <c r="D150" t="s">
        <v>31</v>
      </c>
      <c r="E150" t="s">
        <v>32</v>
      </c>
      <c r="F150" t="s">
        <v>21</v>
      </c>
      <c r="G150" t="s">
        <v>22</v>
      </c>
      <c r="H150" t="s">
        <v>63</v>
      </c>
      <c r="I150" t="s">
        <v>51</v>
      </c>
      <c r="J150" t="s">
        <v>36</v>
      </c>
      <c r="K150">
        <v>2</v>
      </c>
      <c r="L150">
        <v>308000</v>
      </c>
      <c r="M150">
        <v>210000</v>
      </c>
      <c r="N150">
        <v>0.1</v>
      </c>
      <c r="O150" t="s">
        <v>64</v>
      </c>
      <c r="P150" t="s">
        <v>133</v>
      </c>
    </row>
    <row r="151" spans="1:16" x14ac:dyDescent="0.25">
      <c r="A151" t="s">
        <v>362</v>
      </c>
      <c r="B151" t="s">
        <v>363</v>
      </c>
      <c r="C151" t="s">
        <v>30</v>
      </c>
      <c r="D151" t="s">
        <v>19</v>
      </c>
      <c r="E151" t="s">
        <v>20</v>
      </c>
      <c r="F151" t="s">
        <v>21</v>
      </c>
      <c r="G151" t="s">
        <v>22</v>
      </c>
      <c r="H151" t="s">
        <v>23</v>
      </c>
      <c r="I151" t="s">
        <v>70</v>
      </c>
      <c r="J151" t="s">
        <v>71</v>
      </c>
      <c r="K151">
        <v>1</v>
      </c>
      <c r="L151">
        <v>95000</v>
      </c>
      <c r="M151">
        <v>65100</v>
      </c>
      <c r="N151">
        <v>0</v>
      </c>
      <c r="O151" t="s">
        <v>64</v>
      </c>
      <c r="P151" t="s">
        <v>72</v>
      </c>
    </row>
    <row r="152" spans="1:16" x14ac:dyDescent="0.25">
      <c r="A152" t="s">
        <v>364</v>
      </c>
      <c r="B152" t="s">
        <v>365</v>
      </c>
      <c r="C152" t="s">
        <v>18</v>
      </c>
      <c r="D152" t="s">
        <v>157</v>
      </c>
      <c r="E152" t="s">
        <v>158</v>
      </c>
      <c r="F152" t="s">
        <v>21</v>
      </c>
      <c r="G152" t="s">
        <v>22</v>
      </c>
      <c r="H152" t="s">
        <v>23</v>
      </c>
      <c r="I152" t="s">
        <v>102</v>
      </c>
      <c r="J152" t="s">
        <v>25</v>
      </c>
      <c r="K152">
        <v>2</v>
      </c>
      <c r="L152">
        <v>37800</v>
      </c>
      <c r="M152">
        <v>26000</v>
      </c>
      <c r="N152">
        <v>0</v>
      </c>
      <c r="O152" t="s">
        <v>47</v>
      </c>
      <c r="P152" t="s">
        <v>72</v>
      </c>
    </row>
    <row r="153" spans="1:16" x14ac:dyDescent="0.25">
      <c r="A153" t="s">
        <v>366</v>
      </c>
      <c r="B153" t="s">
        <v>156</v>
      </c>
      <c r="C153" t="s">
        <v>30</v>
      </c>
      <c r="D153" t="s">
        <v>78</v>
      </c>
      <c r="E153" t="s">
        <v>79</v>
      </c>
      <c r="F153" t="s">
        <v>80</v>
      </c>
      <c r="G153" t="s">
        <v>33</v>
      </c>
      <c r="H153" t="s">
        <v>63</v>
      </c>
      <c r="I153" t="s">
        <v>51</v>
      </c>
      <c r="J153" t="s">
        <v>36</v>
      </c>
      <c r="K153">
        <v>4</v>
      </c>
      <c r="L153">
        <v>308000</v>
      </c>
      <c r="M153">
        <v>199500</v>
      </c>
      <c r="N153">
        <v>0.05</v>
      </c>
      <c r="O153" t="s">
        <v>57</v>
      </c>
      <c r="P153" t="s">
        <v>48</v>
      </c>
    </row>
    <row r="154" spans="1:16" x14ac:dyDescent="0.25">
      <c r="A154" t="s">
        <v>367</v>
      </c>
      <c r="B154" t="s">
        <v>368</v>
      </c>
      <c r="C154" t="s">
        <v>18</v>
      </c>
      <c r="D154" t="s">
        <v>31</v>
      </c>
      <c r="E154" t="s">
        <v>32</v>
      </c>
      <c r="F154" t="s">
        <v>21</v>
      </c>
      <c r="G154" t="s">
        <v>62</v>
      </c>
      <c r="H154" t="s">
        <v>34</v>
      </c>
      <c r="I154" t="s">
        <v>102</v>
      </c>
      <c r="J154" t="s">
        <v>25</v>
      </c>
      <c r="K154">
        <v>2</v>
      </c>
      <c r="L154">
        <v>37800</v>
      </c>
      <c r="M154">
        <v>26000</v>
      </c>
      <c r="N154">
        <v>0</v>
      </c>
      <c r="O154" t="s">
        <v>148</v>
      </c>
      <c r="P154" t="s">
        <v>27</v>
      </c>
    </row>
    <row r="155" spans="1:16" x14ac:dyDescent="0.25">
      <c r="A155" t="s">
        <v>369</v>
      </c>
      <c r="B155" t="s">
        <v>370</v>
      </c>
      <c r="C155" t="s">
        <v>40</v>
      </c>
      <c r="D155" t="s">
        <v>78</v>
      </c>
      <c r="E155" t="s">
        <v>79</v>
      </c>
      <c r="F155" t="s">
        <v>80</v>
      </c>
      <c r="G155" t="s">
        <v>44</v>
      </c>
      <c r="H155" t="s">
        <v>34</v>
      </c>
      <c r="I155" t="s">
        <v>105</v>
      </c>
      <c r="J155" t="s">
        <v>71</v>
      </c>
      <c r="K155">
        <v>2</v>
      </c>
      <c r="L155">
        <v>183750</v>
      </c>
      <c r="M155">
        <v>120000</v>
      </c>
      <c r="N155">
        <v>0.15</v>
      </c>
      <c r="O155" t="s">
        <v>52</v>
      </c>
      <c r="P155" t="s">
        <v>27</v>
      </c>
    </row>
    <row r="156" spans="1:16" x14ac:dyDescent="0.25">
      <c r="A156" t="s">
        <v>371</v>
      </c>
      <c r="B156" t="s">
        <v>372</v>
      </c>
      <c r="C156" t="s">
        <v>40</v>
      </c>
      <c r="D156" t="s">
        <v>110</v>
      </c>
      <c r="E156" t="s">
        <v>111</v>
      </c>
      <c r="F156" t="s">
        <v>85</v>
      </c>
      <c r="G156" t="s">
        <v>33</v>
      </c>
      <c r="H156" t="s">
        <v>23</v>
      </c>
      <c r="I156" t="s">
        <v>102</v>
      </c>
      <c r="J156" t="s">
        <v>25</v>
      </c>
      <c r="K156">
        <v>1</v>
      </c>
      <c r="L156">
        <v>39900</v>
      </c>
      <c r="M156">
        <v>24700</v>
      </c>
      <c r="N156">
        <v>0</v>
      </c>
      <c r="O156" t="s">
        <v>37</v>
      </c>
      <c r="P156" t="s">
        <v>48</v>
      </c>
    </row>
    <row r="157" spans="1:16" x14ac:dyDescent="0.25">
      <c r="A157" t="s">
        <v>373</v>
      </c>
      <c r="B157" t="s">
        <v>374</v>
      </c>
      <c r="C157" t="s">
        <v>40</v>
      </c>
      <c r="D157" t="s">
        <v>31</v>
      </c>
      <c r="E157" t="s">
        <v>32</v>
      </c>
      <c r="F157" t="s">
        <v>21</v>
      </c>
      <c r="G157" t="s">
        <v>62</v>
      </c>
      <c r="H157" t="s">
        <v>96</v>
      </c>
      <c r="I157" t="s">
        <v>70</v>
      </c>
      <c r="J157" t="s">
        <v>71</v>
      </c>
      <c r="K157">
        <v>6</v>
      </c>
      <c r="L157">
        <v>90250</v>
      </c>
      <c r="M157">
        <v>62000</v>
      </c>
      <c r="N157">
        <v>0</v>
      </c>
      <c r="O157" t="s">
        <v>47</v>
      </c>
      <c r="P157" t="s">
        <v>27</v>
      </c>
    </row>
    <row r="158" spans="1:16" x14ac:dyDescent="0.25">
      <c r="A158" t="s">
        <v>375</v>
      </c>
      <c r="B158" t="s">
        <v>376</v>
      </c>
      <c r="C158" t="s">
        <v>40</v>
      </c>
      <c r="D158" t="s">
        <v>83</v>
      </c>
      <c r="E158" t="s">
        <v>84</v>
      </c>
      <c r="F158" t="s">
        <v>85</v>
      </c>
      <c r="G158" t="s">
        <v>62</v>
      </c>
      <c r="H158" t="s">
        <v>23</v>
      </c>
      <c r="I158" t="s">
        <v>55</v>
      </c>
      <c r="J158" t="s">
        <v>56</v>
      </c>
      <c r="K158">
        <v>6</v>
      </c>
      <c r="L158">
        <v>48000</v>
      </c>
      <c r="M158">
        <v>30000</v>
      </c>
      <c r="N158">
        <v>0</v>
      </c>
      <c r="O158" t="s">
        <v>57</v>
      </c>
      <c r="P158" t="s">
        <v>27</v>
      </c>
    </row>
    <row r="159" spans="1:16" x14ac:dyDescent="0.25">
      <c r="A159" t="s">
        <v>377</v>
      </c>
      <c r="B159" t="s">
        <v>378</v>
      </c>
      <c r="C159" t="s">
        <v>18</v>
      </c>
      <c r="D159" t="s">
        <v>136</v>
      </c>
      <c r="E159" t="s">
        <v>137</v>
      </c>
      <c r="F159" t="s">
        <v>122</v>
      </c>
      <c r="G159" t="s">
        <v>22</v>
      </c>
      <c r="H159" t="s">
        <v>63</v>
      </c>
      <c r="I159" t="s">
        <v>51</v>
      </c>
      <c r="J159" t="s">
        <v>36</v>
      </c>
      <c r="K159">
        <v>3</v>
      </c>
      <c r="L159">
        <v>280000</v>
      </c>
      <c r="M159">
        <v>210000</v>
      </c>
      <c r="N159">
        <v>0.1</v>
      </c>
      <c r="O159" t="s">
        <v>57</v>
      </c>
      <c r="P159" t="s">
        <v>48</v>
      </c>
    </row>
    <row r="160" spans="1:16" x14ac:dyDescent="0.25">
      <c r="A160" t="s">
        <v>379</v>
      </c>
      <c r="B160" t="s">
        <v>380</v>
      </c>
      <c r="C160" t="s">
        <v>40</v>
      </c>
      <c r="D160" t="s">
        <v>110</v>
      </c>
      <c r="E160" t="s">
        <v>111</v>
      </c>
      <c r="F160" t="s">
        <v>85</v>
      </c>
      <c r="G160" t="s">
        <v>22</v>
      </c>
      <c r="H160" t="s">
        <v>63</v>
      </c>
      <c r="I160" t="s">
        <v>70</v>
      </c>
      <c r="J160" t="s">
        <v>71</v>
      </c>
      <c r="K160">
        <v>4</v>
      </c>
      <c r="L160">
        <v>95000</v>
      </c>
      <c r="M160">
        <v>62000</v>
      </c>
      <c r="N160">
        <v>0.15</v>
      </c>
      <c r="O160" t="s">
        <v>26</v>
      </c>
      <c r="P160" t="s">
        <v>48</v>
      </c>
    </row>
    <row r="161" spans="1:16" x14ac:dyDescent="0.25">
      <c r="A161" t="s">
        <v>381</v>
      </c>
      <c r="B161" t="s">
        <v>179</v>
      </c>
      <c r="C161" t="s">
        <v>40</v>
      </c>
      <c r="D161" t="s">
        <v>120</v>
      </c>
      <c r="E161" t="s">
        <v>121</v>
      </c>
      <c r="F161" t="s">
        <v>122</v>
      </c>
      <c r="G161" t="s">
        <v>44</v>
      </c>
      <c r="H161" t="s">
        <v>96</v>
      </c>
      <c r="I161" t="s">
        <v>70</v>
      </c>
      <c r="J161" t="s">
        <v>71</v>
      </c>
      <c r="K161">
        <v>15</v>
      </c>
      <c r="L161">
        <v>85500</v>
      </c>
      <c r="M161">
        <v>58900</v>
      </c>
      <c r="N161">
        <v>0.15</v>
      </c>
      <c r="O161" t="s">
        <v>90</v>
      </c>
      <c r="P161" t="s">
        <v>72</v>
      </c>
    </row>
    <row r="162" spans="1:16" x14ac:dyDescent="0.25">
      <c r="A162" t="s">
        <v>382</v>
      </c>
      <c r="B162" t="s">
        <v>283</v>
      </c>
      <c r="C162" t="s">
        <v>40</v>
      </c>
      <c r="D162" t="s">
        <v>120</v>
      </c>
      <c r="E162" t="s">
        <v>121</v>
      </c>
      <c r="F162" t="s">
        <v>122</v>
      </c>
      <c r="G162" t="s">
        <v>62</v>
      </c>
      <c r="H162" t="s">
        <v>112</v>
      </c>
      <c r="I162" t="s">
        <v>45</v>
      </c>
      <c r="J162" t="s">
        <v>46</v>
      </c>
      <c r="K162">
        <v>6</v>
      </c>
      <c r="L162">
        <v>16650</v>
      </c>
      <c r="M162">
        <v>14500</v>
      </c>
      <c r="N162">
        <v>0</v>
      </c>
      <c r="O162" t="s">
        <v>148</v>
      </c>
      <c r="P162" t="s">
        <v>27</v>
      </c>
    </row>
    <row r="163" spans="1:16" x14ac:dyDescent="0.25">
      <c r="A163" t="s">
        <v>383</v>
      </c>
      <c r="B163" t="s">
        <v>334</v>
      </c>
      <c r="C163" t="s">
        <v>18</v>
      </c>
      <c r="D163" t="s">
        <v>157</v>
      </c>
      <c r="E163" t="s">
        <v>158</v>
      </c>
      <c r="F163" t="s">
        <v>21</v>
      </c>
      <c r="G163" t="s">
        <v>62</v>
      </c>
      <c r="H163" t="s">
        <v>112</v>
      </c>
      <c r="I163" t="s">
        <v>45</v>
      </c>
      <c r="J163" t="s">
        <v>46</v>
      </c>
      <c r="K163">
        <v>5</v>
      </c>
      <c r="L163">
        <v>18500</v>
      </c>
      <c r="M163">
        <v>14500</v>
      </c>
      <c r="N163">
        <v>0.05</v>
      </c>
      <c r="O163" t="s">
        <v>47</v>
      </c>
      <c r="P163" t="s">
        <v>133</v>
      </c>
    </row>
    <row r="164" spans="1:16" x14ac:dyDescent="0.25">
      <c r="A164" t="s">
        <v>384</v>
      </c>
      <c r="B164" t="s">
        <v>385</v>
      </c>
      <c r="C164" t="s">
        <v>30</v>
      </c>
      <c r="D164" t="s">
        <v>41</v>
      </c>
      <c r="E164" t="s">
        <v>42</v>
      </c>
      <c r="F164" t="s">
        <v>43</v>
      </c>
      <c r="G164" t="s">
        <v>33</v>
      </c>
      <c r="H164" t="s">
        <v>23</v>
      </c>
      <c r="I164" t="s">
        <v>24</v>
      </c>
      <c r="J164" t="s">
        <v>25</v>
      </c>
      <c r="K164">
        <v>2</v>
      </c>
      <c r="L164">
        <v>19800</v>
      </c>
      <c r="M164">
        <v>12350</v>
      </c>
      <c r="N164">
        <v>0.15</v>
      </c>
      <c r="O164" t="s">
        <v>52</v>
      </c>
      <c r="P164" t="s">
        <v>72</v>
      </c>
    </row>
    <row r="165" spans="1:16" x14ac:dyDescent="0.25">
      <c r="A165" t="s">
        <v>386</v>
      </c>
      <c r="B165" t="s">
        <v>387</v>
      </c>
      <c r="C165" t="s">
        <v>18</v>
      </c>
      <c r="D165" t="s">
        <v>41</v>
      </c>
      <c r="E165" t="s">
        <v>42</v>
      </c>
      <c r="F165" t="s">
        <v>43</v>
      </c>
      <c r="G165" t="s">
        <v>44</v>
      </c>
      <c r="H165" t="s">
        <v>96</v>
      </c>
      <c r="I165" t="s">
        <v>70</v>
      </c>
      <c r="J165" t="s">
        <v>71</v>
      </c>
      <c r="K165">
        <v>5</v>
      </c>
      <c r="L165">
        <v>90250</v>
      </c>
      <c r="M165">
        <v>62000</v>
      </c>
      <c r="N165">
        <v>0.15</v>
      </c>
      <c r="O165" t="s">
        <v>37</v>
      </c>
      <c r="P165" t="s">
        <v>48</v>
      </c>
    </row>
    <row r="166" spans="1:16" x14ac:dyDescent="0.25">
      <c r="A166" t="s">
        <v>388</v>
      </c>
      <c r="B166" t="s">
        <v>389</v>
      </c>
      <c r="C166" t="s">
        <v>18</v>
      </c>
      <c r="D166" t="s">
        <v>136</v>
      </c>
      <c r="E166" t="s">
        <v>137</v>
      </c>
      <c r="F166" t="s">
        <v>122</v>
      </c>
      <c r="G166" t="s">
        <v>62</v>
      </c>
      <c r="H166" t="s">
        <v>63</v>
      </c>
      <c r="I166" t="s">
        <v>75</v>
      </c>
      <c r="J166" t="s">
        <v>36</v>
      </c>
      <c r="K166">
        <v>3</v>
      </c>
      <c r="L166">
        <v>162000</v>
      </c>
      <c r="M166">
        <v>130000</v>
      </c>
      <c r="N166">
        <v>0.15</v>
      </c>
      <c r="O166" t="s">
        <v>90</v>
      </c>
      <c r="P166" t="s">
        <v>27</v>
      </c>
    </row>
    <row r="167" spans="1:16" x14ac:dyDescent="0.25">
      <c r="A167" t="s">
        <v>390</v>
      </c>
      <c r="B167" t="s">
        <v>391</v>
      </c>
      <c r="C167" t="s">
        <v>18</v>
      </c>
      <c r="D167" t="s">
        <v>136</v>
      </c>
      <c r="E167" t="s">
        <v>137</v>
      </c>
      <c r="F167" t="s">
        <v>122</v>
      </c>
      <c r="G167" t="s">
        <v>44</v>
      </c>
      <c r="H167" t="s">
        <v>34</v>
      </c>
      <c r="I167" t="s">
        <v>102</v>
      </c>
      <c r="J167" t="s">
        <v>25</v>
      </c>
      <c r="K167">
        <v>10</v>
      </c>
      <c r="L167">
        <v>44100</v>
      </c>
      <c r="M167">
        <v>26000</v>
      </c>
      <c r="N167">
        <v>0</v>
      </c>
      <c r="O167" t="s">
        <v>64</v>
      </c>
      <c r="P167" t="s">
        <v>48</v>
      </c>
    </row>
    <row r="168" spans="1:16" x14ac:dyDescent="0.25">
      <c r="A168" t="s">
        <v>392</v>
      </c>
      <c r="B168" t="s">
        <v>393</v>
      </c>
      <c r="C168" t="s">
        <v>30</v>
      </c>
      <c r="D168" t="s">
        <v>31</v>
      </c>
      <c r="E168" t="s">
        <v>32</v>
      </c>
      <c r="F168" t="s">
        <v>21</v>
      </c>
      <c r="G168" t="s">
        <v>22</v>
      </c>
      <c r="H168" t="s">
        <v>96</v>
      </c>
      <c r="I168" t="s">
        <v>97</v>
      </c>
      <c r="J168" t="s">
        <v>56</v>
      </c>
      <c r="K168">
        <v>3</v>
      </c>
      <c r="L168">
        <v>125000</v>
      </c>
      <c r="M168">
        <v>85000</v>
      </c>
      <c r="N168">
        <v>0.05</v>
      </c>
      <c r="O168" t="s">
        <v>57</v>
      </c>
      <c r="P168" t="s">
        <v>48</v>
      </c>
    </row>
    <row r="169" spans="1:16" x14ac:dyDescent="0.25">
      <c r="A169" t="s">
        <v>394</v>
      </c>
      <c r="B169" t="s">
        <v>395</v>
      </c>
      <c r="C169" t="s">
        <v>18</v>
      </c>
      <c r="D169" t="s">
        <v>136</v>
      </c>
      <c r="E169" t="s">
        <v>137</v>
      </c>
      <c r="F169" t="s">
        <v>122</v>
      </c>
      <c r="G169" t="s">
        <v>62</v>
      </c>
      <c r="H169" t="s">
        <v>96</v>
      </c>
      <c r="I169" t="s">
        <v>55</v>
      </c>
      <c r="J169" t="s">
        <v>56</v>
      </c>
      <c r="K169">
        <v>5</v>
      </c>
      <c r="L169">
        <v>48000</v>
      </c>
      <c r="M169">
        <v>31500</v>
      </c>
      <c r="N169">
        <v>0.05</v>
      </c>
      <c r="O169" t="s">
        <v>37</v>
      </c>
      <c r="P169" t="s">
        <v>48</v>
      </c>
    </row>
    <row r="170" spans="1:16" x14ac:dyDescent="0.25">
      <c r="A170" t="s">
        <v>396</v>
      </c>
      <c r="B170" t="s">
        <v>397</v>
      </c>
      <c r="C170" t="s">
        <v>18</v>
      </c>
      <c r="D170" t="s">
        <v>120</v>
      </c>
      <c r="E170" t="s">
        <v>121</v>
      </c>
      <c r="F170" t="s">
        <v>122</v>
      </c>
      <c r="G170" t="s">
        <v>22</v>
      </c>
      <c r="H170" t="s">
        <v>23</v>
      </c>
      <c r="I170" t="s">
        <v>97</v>
      </c>
      <c r="J170" t="s">
        <v>56</v>
      </c>
      <c r="K170">
        <v>3</v>
      </c>
      <c r="L170">
        <v>118750</v>
      </c>
      <c r="M170">
        <v>85000</v>
      </c>
      <c r="N170">
        <v>0</v>
      </c>
      <c r="O170" t="s">
        <v>90</v>
      </c>
      <c r="P170" t="s">
        <v>133</v>
      </c>
    </row>
    <row r="171" spans="1:16" x14ac:dyDescent="0.25">
      <c r="A171" t="s">
        <v>398</v>
      </c>
      <c r="B171" t="s">
        <v>399</v>
      </c>
      <c r="C171" t="s">
        <v>18</v>
      </c>
      <c r="D171" t="s">
        <v>157</v>
      </c>
      <c r="E171" t="s">
        <v>158</v>
      </c>
      <c r="F171" t="s">
        <v>21</v>
      </c>
      <c r="G171" t="s">
        <v>62</v>
      </c>
      <c r="H171" t="s">
        <v>34</v>
      </c>
      <c r="I171" t="s">
        <v>70</v>
      </c>
      <c r="J171" t="s">
        <v>71</v>
      </c>
      <c r="K171">
        <v>1</v>
      </c>
      <c r="L171">
        <v>99750</v>
      </c>
      <c r="M171">
        <v>62000</v>
      </c>
      <c r="N171">
        <v>0</v>
      </c>
      <c r="O171" t="s">
        <v>57</v>
      </c>
      <c r="P171" t="s">
        <v>48</v>
      </c>
    </row>
    <row r="172" spans="1:16" x14ac:dyDescent="0.25">
      <c r="A172" t="s">
        <v>400</v>
      </c>
      <c r="B172" t="s">
        <v>401</v>
      </c>
      <c r="C172" t="s">
        <v>30</v>
      </c>
      <c r="D172" t="s">
        <v>120</v>
      </c>
      <c r="E172" t="s">
        <v>121</v>
      </c>
      <c r="F172" t="s">
        <v>122</v>
      </c>
      <c r="G172" t="s">
        <v>44</v>
      </c>
      <c r="H172" t="s">
        <v>34</v>
      </c>
      <c r="I172" t="s">
        <v>75</v>
      </c>
      <c r="J172" t="s">
        <v>36</v>
      </c>
      <c r="K172">
        <v>2</v>
      </c>
      <c r="L172">
        <v>180000</v>
      </c>
      <c r="M172">
        <v>123500</v>
      </c>
      <c r="N172">
        <v>0.1</v>
      </c>
      <c r="O172" t="s">
        <v>47</v>
      </c>
      <c r="P172" t="s">
        <v>48</v>
      </c>
    </row>
    <row r="173" spans="1:16" x14ac:dyDescent="0.25">
      <c r="A173" t="s">
        <v>402</v>
      </c>
      <c r="B173" t="s">
        <v>401</v>
      </c>
      <c r="C173" t="s">
        <v>40</v>
      </c>
      <c r="D173" t="s">
        <v>31</v>
      </c>
      <c r="E173" t="s">
        <v>32</v>
      </c>
      <c r="F173" t="s">
        <v>21</v>
      </c>
      <c r="G173" t="s">
        <v>44</v>
      </c>
      <c r="H173" t="s">
        <v>23</v>
      </c>
      <c r="I173" t="s">
        <v>45</v>
      </c>
      <c r="J173" t="s">
        <v>46</v>
      </c>
      <c r="K173">
        <v>8</v>
      </c>
      <c r="L173">
        <v>16650</v>
      </c>
      <c r="M173">
        <v>13775</v>
      </c>
      <c r="N173">
        <v>0</v>
      </c>
      <c r="O173" t="s">
        <v>26</v>
      </c>
      <c r="P173" t="s">
        <v>133</v>
      </c>
    </row>
    <row r="174" spans="1:16" x14ac:dyDescent="0.25">
      <c r="A174" t="s">
        <v>403</v>
      </c>
      <c r="B174" t="s">
        <v>264</v>
      </c>
      <c r="C174" t="s">
        <v>18</v>
      </c>
      <c r="D174" t="s">
        <v>120</v>
      </c>
      <c r="E174" t="s">
        <v>121</v>
      </c>
      <c r="F174" t="s">
        <v>122</v>
      </c>
      <c r="G174" t="s">
        <v>33</v>
      </c>
      <c r="H174" t="s">
        <v>63</v>
      </c>
      <c r="I174" t="s">
        <v>45</v>
      </c>
      <c r="J174" t="s">
        <v>46</v>
      </c>
      <c r="K174">
        <v>1</v>
      </c>
      <c r="L174">
        <v>19425</v>
      </c>
      <c r="M174">
        <v>14500</v>
      </c>
      <c r="N174">
        <v>0.15</v>
      </c>
      <c r="O174" t="s">
        <v>37</v>
      </c>
      <c r="P174" t="s">
        <v>72</v>
      </c>
    </row>
    <row r="175" spans="1:16" x14ac:dyDescent="0.25">
      <c r="A175" t="s">
        <v>404</v>
      </c>
      <c r="B175" t="s">
        <v>370</v>
      </c>
      <c r="C175" t="s">
        <v>40</v>
      </c>
      <c r="D175" t="s">
        <v>136</v>
      </c>
      <c r="E175" t="s">
        <v>137</v>
      </c>
      <c r="F175" t="s">
        <v>122</v>
      </c>
      <c r="G175" t="s">
        <v>44</v>
      </c>
      <c r="H175" t="s">
        <v>63</v>
      </c>
      <c r="I175" t="s">
        <v>51</v>
      </c>
      <c r="J175" t="s">
        <v>36</v>
      </c>
      <c r="K175">
        <v>1</v>
      </c>
      <c r="L175">
        <v>280000</v>
      </c>
      <c r="M175">
        <v>220500</v>
      </c>
      <c r="N175">
        <v>0.05</v>
      </c>
      <c r="O175" t="s">
        <v>47</v>
      </c>
      <c r="P175" t="s">
        <v>48</v>
      </c>
    </row>
    <row r="176" spans="1:16" x14ac:dyDescent="0.25">
      <c r="A176" t="s">
        <v>405</v>
      </c>
      <c r="B176" t="s">
        <v>406</v>
      </c>
      <c r="C176" t="s">
        <v>40</v>
      </c>
      <c r="D176" t="s">
        <v>88</v>
      </c>
      <c r="E176" t="s">
        <v>89</v>
      </c>
      <c r="F176" t="s">
        <v>43</v>
      </c>
      <c r="G176" t="s">
        <v>44</v>
      </c>
      <c r="H176" t="s">
        <v>112</v>
      </c>
      <c r="I176" t="s">
        <v>102</v>
      </c>
      <c r="J176" t="s">
        <v>25</v>
      </c>
      <c r="K176">
        <v>15</v>
      </c>
      <c r="L176">
        <v>39900</v>
      </c>
      <c r="M176">
        <v>26000</v>
      </c>
      <c r="N176">
        <v>0.1</v>
      </c>
      <c r="O176" t="s">
        <v>52</v>
      </c>
      <c r="P176" t="s">
        <v>48</v>
      </c>
    </row>
    <row r="177" spans="1:16" x14ac:dyDescent="0.25">
      <c r="A177" t="s">
        <v>407</v>
      </c>
      <c r="B177" t="s">
        <v>408</v>
      </c>
      <c r="C177" t="s">
        <v>40</v>
      </c>
      <c r="D177" t="s">
        <v>110</v>
      </c>
      <c r="E177" t="s">
        <v>111</v>
      </c>
      <c r="F177" t="s">
        <v>85</v>
      </c>
      <c r="G177" t="s">
        <v>44</v>
      </c>
      <c r="H177" t="s">
        <v>34</v>
      </c>
      <c r="I177" t="s">
        <v>70</v>
      </c>
      <c r="J177" t="s">
        <v>71</v>
      </c>
      <c r="K177">
        <v>2</v>
      </c>
      <c r="L177">
        <v>85500</v>
      </c>
      <c r="M177">
        <v>58900</v>
      </c>
      <c r="N177">
        <v>0</v>
      </c>
      <c r="O177" t="s">
        <v>47</v>
      </c>
      <c r="P177" t="s">
        <v>133</v>
      </c>
    </row>
    <row r="178" spans="1:16" x14ac:dyDescent="0.25">
      <c r="A178" t="s">
        <v>409</v>
      </c>
      <c r="B178" t="s">
        <v>410</v>
      </c>
      <c r="C178" t="s">
        <v>40</v>
      </c>
      <c r="D178" t="s">
        <v>136</v>
      </c>
      <c r="E178" t="s">
        <v>137</v>
      </c>
      <c r="F178" t="s">
        <v>122</v>
      </c>
      <c r="G178" t="s">
        <v>62</v>
      </c>
      <c r="I178" t="s">
        <v>45</v>
      </c>
      <c r="J178" t="s">
        <v>46</v>
      </c>
      <c r="K178">
        <v>2</v>
      </c>
      <c r="L178">
        <v>20350</v>
      </c>
      <c r="M178">
        <v>14500</v>
      </c>
      <c r="N178">
        <v>0.05</v>
      </c>
      <c r="O178" t="s">
        <v>148</v>
      </c>
      <c r="P178" t="s">
        <v>72</v>
      </c>
    </row>
    <row r="179" spans="1:16" x14ac:dyDescent="0.25">
      <c r="A179" t="s">
        <v>411</v>
      </c>
      <c r="B179" t="s">
        <v>267</v>
      </c>
      <c r="C179" t="s">
        <v>18</v>
      </c>
      <c r="D179" t="s">
        <v>83</v>
      </c>
      <c r="E179" t="s">
        <v>84</v>
      </c>
      <c r="F179" t="s">
        <v>85</v>
      </c>
      <c r="G179" t="s">
        <v>62</v>
      </c>
      <c r="H179" t="s">
        <v>112</v>
      </c>
      <c r="I179" t="s">
        <v>51</v>
      </c>
      <c r="J179" t="s">
        <v>36</v>
      </c>
      <c r="K179">
        <v>3</v>
      </c>
      <c r="L179">
        <v>266000</v>
      </c>
      <c r="M179">
        <v>210000</v>
      </c>
      <c r="N179">
        <v>0.1</v>
      </c>
      <c r="O179" t="s">
        <v>37</v>
      </c>
      <c r="P179" t="s">
        <v>48</v>
      </c>
    </row>
    <row r="180" spans="1:16" x14ac:dyDescent="0.25">
      <c r="A180" t="s">
        <v>412</v>
      </c>
      <c r="B180" t="s">
        <v>50</v>
      </c>
      <c r="C180" t="s">
        <v>40</v>
      </c>
      <c r="D180" t="s">
        <v>78</v>
      </c>
      <c r="E180" t="s">
        <v>79</v>
      </c>
      <c r="F180" t="s">
        <v>80</v>
      </c>
      <c r="G180" t="s">
        <v>33</v>
      </c>
      <c r="H180" t="s">
        <v>63</v>
      </c>
      <c r="I180" t="s">
        <v>70</v>
      </c>
      <c r="J180" t="s">
        <v>71</v>
      </c>
      <c r="K180">
        <v>1</v>
      </c>
      <c r="L180">
        <v>85500</v>
      </c>
      <c r="M180">
        <v>65100</v>
      </c>
      <c r="N180">
        <v>0</v>
      </c>
      <c r="O180" t="s">
        <v>148</v>
      </c>
      <c r="P180" t="s">
        <v>27</v>
      </c>
    </row>
    <row r="181" spans="1:16" x14ac:dyDescent="0.25">
      <c r="A181" t="s">
        <v>413</v>
      </c>
      <c r="B181" t="s">
        <v>414</v>
      </c>
      <c r="C181" t="s">
        <v>40</v>
      </c>
      <c r="D181" t="s">
        <v>31</v>
      </c>
      <c r="E181" t="s">
        <v>32</v>
      </c>
      <c r="F181" t="s">
        <v>21</v>
      </c>
      <c r="G181" t="s">
        <v>33</v>
      </c>
      <c r="H181" t="s">
        <v>23</v>
      </c>
      <c r="I181" t="s">
        <v>55</v>
      </c>
      <c r="J181" t="s">
        <v>56</v>
      </c>
      <c r="K181">
        <v>4</v>
      </c>
      <c r="L181">
        <v>45600</v>
      </c>
      <c r="M181">
        <v>30000</v>
      </c>
      <c r="N181">
        <v>0.1</v>
      </c>
      <c r="O181" t="s">
        <v>57</v>
      </c>
      <c r="P181" t="s">
        <v>48</v>
      </c>
    </row>
    <row r="182" spans="1:16" x14ac:dyDescent="0.25">
      <c r="A182" t="s">
        <v>415</v>
      </c>
      <c r="B182" t="s">
        <v>92</v>
      </c>
      <c r="C182" t="s">
        <v>30</v>
      </c>
      <c r="D182" t="s">
        <v>120</v>
      </c>
      <c r="E182" t="s">
        <v>121</v>
      </c>
      <c r="F182" t="s">
        <v>122</v>
      </c>
      <c r="G182" t="s">
        <v>62</v>
      </c>
      <c r="H182" t="s">
        <v>34</v>
      </c>
      <c r="I182" t="s">
        <v>45</v>
      </c>
      <c r="J182" t="s">
        <v>46</v>
      </c>
      <c r="K182">
        <v>4</v>
      </c>
      <c r="L182">
        <v>17575</v>
      </c>
      <c r="M182">
        <v>13775</v>
      </c>
      <c r="N182">
        <v>0.05</v>
      </c>
      <c r="O182" t="s">
        <v>64</v>
      </c>
      <c r="P182" t="s">
        <v>48</v>
      </c>
    </row>
    <row r="183" spans="1:16" x14ac:dyDescent="0.25">
      <c r="A183" t="s">
        <v>416</v>
      </c>
      <c r="B183" t="s">
        <v>417</v>
      </c>
      <c r="C183" t="s">
        <v>40</v>
      </c>
      <c r="D183" t="s">
        <v>78</v>
      </c>
      <c r="E183" t="s">
        <v>79</v>
      </c>
      <c r="F183" t="s">
        <v>80</v>
      </c>
      <c r="G183" t="s">
        <v>33</v>
      </c>
      <c r="H183" t="s">
        <v>23</v>
      </c>
      <c r="I183" t="s">
        <v>45</v>
      </c>
      <c r="J183" t="s">
        <v>46</v>
      </c>
      <c r="K183">
        <v>3</v>
      </c>
      <c r="L183">
        <v>16650</v>
      </c>
      <c r="M183">
        <v>13775</v>
      </c>
      <c r="N183">
        <v>0</v>
      </c>
      <c r="O183" t="s">
        <v>37</v>
      </c>
      <c r="P183" t="s">
        <v>27</v>
      </c>
    </row>
    <row r="184" spans="1:16" x14ac:dyDescent="0.25">
      <c r="A184" t="s">
        <v>418</v>
      </c>
      <c r="B184" t="s">
        <v>181</v>
      </c>
      <c r="C184" t="s">
        <v>40</v>
      </c>
      <c r="D184" t="s">
        <v>131</v>
      </c>
      <c r="E184" t="s">
        <v>132</v>
      </c>
      <c r="F184" t="s">
        <v>80</v>
      </c>
      <c r="G184" t="s">
        <v>62</v>
      </c>
      <c r="H184" t="s">
        <v>23</v>
      </c>
      <c r="I184" t="s">
        <v>75</v>
      </c>
      <c r="J184" t="s">
        <v>36</v>
      </c>
      <c r="K184">
        <v>10</v>
      </c>
      <c r="L184">
        <v>171000</v>
      </c>
      <c r="M184">
        <v>130000</v>
      </c>
      <c r="N184">
        <v>0.1</v>
      </c>
      <c r="O184" t="s">
        <v>47</v>
      </c>
      <c r="P184" t="s">
        <v>48</v>
      </c>
    </row>
    <row r="185" spans="1:16" x14ac:dyDescent="0.25">
      <c r="A185" t="s">
        <v>419</v>
      </c>
      <c r="B185" t="s">
        <v>420</v>
      </c>
      <c r="C185" t="s">
        <v>40</v>
      </c>
      <c r="D185" t="s">
        <v>78</v>
      </c>
      <c r="E185" t="s">
        <v>79</v>
      </c>
      <c r="F185" t="s">
        <v>80</v>
      </c>
      <c r="G185" t="s">
        <v>22</v>
      </c>
      <c r="H185" t="s">
        <v>112</v>
      </c>
      <c r="I185" t="s">
        <v>93</v>
      </c>
      <c r="J185" t="s">
        <v>46</v>
      </c>
      <c r="K185">
        <v>4</v>
      </c>
      <c r="L185">
        <v>99750</v>
      </c>
      <c r="M185">
        <v>82000</v>
      </c>
      <c r="N185">
        <v>0.05</v>
      </c>
      <c r="O185" t="s">
        <v>57</v>
      </c>
      <c r="P185" t="s">
        <v>48</v>
      </c>
    </row>
    <row r="186" spans="1:16" x14ac:dyDescent="0.25">
      <c r="A186" t="s">
        <v>421</v>
      </c>
      <c r="B186" t="s">
        <v>69</v>
      </c>
      <c r="C186" t="s">
        <v>30</v>
      </c>
      <c r="D186" t="s">
        <v>136</v>
      </c>
      <c r="E186" t="s">
        <v>137</v>
      </c>
      <c r="F186" t="s">
        <v>122</v>
      </c>
      <c r="G186" t="s">
        <v>44</v>
      </c>
      <c r="H186" t="s">
        <v>96</v>
      </c>
      <c r="I186" t="s">
        <v>102</v>
      </c>
      <c r="J186" t="s">
        <v>25</v>
      </c>
      <c r="K186">
        <v>4</v>
      </c>
      <c r="L186">
        <v>42000</v>
      </c>
      <c r="M186">
        <v>27300</v>
      </c>
      <c r="N186">
        <v>0</v>
      </c>
      <c r="O186" t="s">
        <v>37</v>
      </c>
      <c r="P186" t="s">
        <v>133</v>
      </c>
    </row>
    <row r="187" spans="1:16" x14ac:dyDescent="0.25">
      <c r="A187" t="s">
        <v>422</v>
      </c>
      <c r="B187" t="s">
        <v>423</v>
      </c>
      <c r="C187" t="s">
        <v>18</v>
      </c>
      <c r="D187" t="s">
        <v>78</v>
      </c>
      <c r="E187" t="s">
        <v>79</v>
      </c>
      <c r="F187" t="s">
        <v>80</v>
      </c>
      <c r="G187" t="s">
        <v>22</v>
      </c>
      <c r="H187" t="s">
        <v>34</v>
      </c>
      <c r="I187" t="s">
        <v>75</v>
      </c>
      <c r="J187" t="s">
        <v>36</v>
      </c>
      <c r="K187">
        <v>4</v>
      </c>
      <c r="L187">
        <v>180000</v>
      </c>
      <c r="M187">
        <v>136500</v>
      </c>
      <c r="N187">
        <v>0</v>
      </c>
      <c r="O187" t="s">
        <v>148</v>
      </c>
      <c r="P187" t="s">
        <v>48</v>
      </c>
    </row>
    <row r="188" spans="1:16" x14ac:dyDescent="0.25">
      <c r="A188" t="s">
        <v>424</v>
      </c>
      <c r="B188" t="s">
        <v>231</v>
      </c>
      <c r="C188" t="s">
        <v>40</v>
      </c>
      <c r="D188" t="s">
        <v>88</v>
      </c>
      <c r="E188" t="s">
        <v>89</v>
      </c>
      <c r="F188" t="s">
        <v>43</v>
      </c>
      <c r="G188" t="s">
        <v>22</v>
      </c>
      <c r="H188" t="s">
        <v>34</v>
      </c>
      <c r="I188" t="s">
        <v>97</v>
      </c>
      <c r="J188" t="s">
        <v>56</v>
      </c>
      <c r="K188">
        <v>3</v>
      </c>
      <c r="L188">
        <v>125000</v>
      </c>
      <c r="M188">
        <v>85000</v>
      </c>
      <c r="N188">
        <v>0.05</v>
      </c>
      <c r="O188" t="s">
        <v>64</v>
      </c>
      <c r="P188" t="s">
        <v>133</v>
      </c>
    </row>
    <row r="189" spans="1:16" x14ac:dyDescent="0.25">
      <c r="A189" t="s">
        <v>425</v>
      </c>
      <c r="B189" t="s">
        <v>426</v>
      </c>
      <c r="C189" t="s">
        <v>30</v>
      </c>
      <c r="D189" t="s">
        <v>88</v>
      </c>
      <c r="E189" t="s">
        <v>89</v>
      </c>
      <c r="F189" t="s">
        <v>43</v>
      </c>
      <c r="G189" t="s">
        <v>62</v>
      </c>
      <c r="H189" t="s">
        <v>23</v>
      </c>
      <c r="I189" t="s">
        <v>93</v>
      </c>
      <c r="J189" t="s">
        <v>46</v>
      </c>
      <c r="K189">
        <v>15</v>
      </c>
      <c r="L189">
        <v>95000</v>
      </c>
      <c r="M189">
        <v>86100</v>
      </c>
      <c r="N189">
        <v>0</v>
      </c>
      <c r="O189" t="s">
        <v>47</v>
      </c>
      <c r="P189" t="s">
        <v>72</v>
      </c>
    </row>
    <row r="190" spans="1:16" x14ac:dyDescent="0.25">
      <c r="A190" t="s">
        <v>427</v>
      </c>
      <c r="B190" t="s">
        <v>428</v>
      </c>
      <c r="C190" t="s">
        <v>18</v>
      </c>
      <c r="D190" t="s">
        <v>136</v>
      </c>
      <c r="E190" t="s">
        <v>137</v>
      </c>
      <c r="F190" t="s">
        <v>122</v>
      </c>
      <c r="G190" t="s">
        <v>62</v>
      </c>
      <c r="H190" t="s">
        <v>23</v>
      </c>
      <c r="I190" t="s">
        <v>24</v>
      </c>
      <c r="J190" t="s">
        <v>25</v>
      </c>
      <c r="K190">
        <v>5</v>
      </c>
      <c r="L190">
        <v>24200</v>
      </c>
      <c r="M190">
        <v>13000</v>
      </c>
      <c r="N190">
        <v>0.1</v>
      </c>
      <c r="O190" t="s">
        <v>57</v>
      </c>
      <c r="P190" t="s">
        <v>48</v>
      </c>
    </row>
    <row r="191" spans="1:16" x14ac:dyDescent="0.25">
      <c r="A191" t="s">
        <v>429</v>
      </c>
      <c r="B191" t="s">
        <v>141</v>
      </c>
      <c r="C191" t="s">
        <v>40</v>
      </c>
      <c r="D191" t="s">
        <v>41</v>
      </c>
      <c r="E191" t="s">
        <v>42</v>
      </c>
      <c r="F191" t="s">
        <v>43</v>
      </c>
      <c r="G191" t="s">
        <v>33</v>
      </c>
      <c r="H191" t="s">
        <v>63</v>
      </c>
      <c r="I191" t="s">
        <v>113</v>
      </c>
      <c r="J191" t="s">
        <v>36</v>
      </c>
      <c r="K191">
        <v>6</v>
      </c>
      <c r="L191">
        <v>168000</v>
      </c>
      <c r="M191">
        <v>115000</v>
      </c>
      <c r="N191">
        <v>0.15</v>
      </c>
      <c r="O191" t="s">
        <v>57</v>
      </c>
      <c r="P191" t="s">
        <v>72</v>
      </c>
    </row>
    <row r="192" spans="1:16" x14ac:dyDescent="0.25">
      <c r="A192" t="s">
        <v>430</v>
      </c>
      <c r="B192" t="s">
        <v>431</v>
      </c>
      <c r="C192" t="s">
        <v>40</v>
      </c>
      <c r="D192" t="s">
        <v>19</v>
      </c>
      <c r="E192" t="s">
        <v>20</v>
      </c>
      <c r="F192" t="s">
        <v>21</v>
      </c>
      <c r="G192" t="s">
        <v>22</v>
      </c>
      <c r="H192" t="s">
        <v>63</v>
      </c>
      <c r="I192" t="s">
        <v>70</v>
      </c>
      <c r="J192" t="s">
        <v>71</v>
      </c>
      <c r="K192">
        <v>4</v>
      </c>
      <c r="L192">
        <v>95000</v>
      </c>
      <c r="M192">
        <v>65100</v>
      </c>
      <c r="N192">
        <v>0.05</v>
      </c>
      <c r="O192" t="s">
        <v>52</v>
      </c>
      <c r="P192" t="s">
        <v>48</v>
      </c>
    </row>
    <row r="193" spans="1:16" x14ac:dyDescent="0.25">
      <c r="A193" t="s">
        <v>432</v>
      </c>
      <c r="B193" t="s">
        <v>433</v>
      </c>
      <c r="C193" t="s">
        <v>40</v>
      </c>
      <c r="D193" t="s">
        <v>110</v>
      </c>
      <c r="E193" t="s">
        <v>111</v>
      </c>
      <c r="F193" t="s">
        <v>85</v>
      </c>
      <c r="G193" t="s">
        <v>62</v>
      </c>
      <c r="H193" t="s">
        <v>34</v>
      </c>
      <c r="I193" t="s">
        <v>105</v>
      </c>
      <c r="J193" t="s">
        <v>71</v>
      </c>
      <c r="K193">
        <v>5</v>
      </c>
      <c r="L193">
        <v>183750</v>
      </c>
      <c r="M193">
        <v>126000</v>
      </c>
      <c r="N193">
        <v>0</v>
      </c>
      <c r="O193" t="s">
        <v>52</v>
      </c>
      <c r="P193" t="s">
        <v>133</v>
      </c>
    </row>
    <row r="194" spans="1:16" x14ac:dyDescent="0.25">
      <c r="A194" t="s">
        <v>434</v>
      </c>
      <c r="B194" t="s">
        <v>259</v>
      </c>
      <c r="C194" t="s">
        <v>30</v>
      </c>
      <c r="D194" t="s">
        <v>136</v>
      </c>
      <c r="E194" t="s">
        <v>137</v>
      </c>
      <c r="F194" t="s">
        <v>122</v>
      </c>
      <c r="G194" t="s">
        <v>44</v>
      </c>
      <c r="H194" t="s">
        <v>96</v>
      </c>
      <c r="I194" t="s">
        <v>45</v>
      </c>
      <c r="J194" t="s">
        <v>46</v>
      </c>
      <c r="K194">
        <v>4</v>
      </c>
      <c r="L194">
        <v>17575</v>
      </c>
      <c r="M194">
        <v>13775</v>
      </c>
      <c r="N194">
        <v>0.15</v>
      </c>
      <c r="O194" t="s">
        <v>52</v>
      </c>
      <c r="P194" t="s">
        <v>48</v>
      </c>
    </row>
    <row r="195" spans="1:16" x14ac:dyDescent="0.25">
      <c r="A195" t="s">
        <v>435</v>
      </c>
      <c r="B195" t="s">
        <v>436</v>
      </c>
      <c r="C195" t="s">
        <v>40</v>
      </c>
      <c r="D195" t="s">
        <v>88</v>
      </c>
      <c r="E195" t="s">
        <v>89</v>
      </c>
      <c r="F195" t="s">
        <v>43</v>
      </c>
      <c r="G195" t="s">
        <v>33</v>
      </c>
      <c r="H195" t="s">
        <v>112</v>
      </c>
      <c r="I195" t="s">
        <v>55</v>
      </c>
      <c r="J195" t="s">
        <v>56</v>
      </c>
      <c r="K195">
        <v>5</v>
      </c>
      <c r="L195">
        <v>43200</v>
      </c>
      <c r="M195">
        <v>30000</v>
      </c>
      <c r="N195">
        <v>0</v>
      </c>
      <c r="O195" t="s">
        <v>64</v>
      </c>
      <c r="P195" t="s">
        <v>48</v>
      </c>
    </row>
    <row r="196" spans="1:16" x14ac:dyDescent="0.25">
      <c r="A196" t="s">
        <v>437</v>
      </c>
      <c r="B196" t="s">
        <v>438</v>
      </c>
      <c r="C196" t="s">
        <v>30</v>
      </c>
      <c r="D196" t="s">
        <v>88</v>
      </c>
      <c r="E196" t="s">
        <v>89</v>
      </c>
      <c r="F196" t="s">
        <v>43</v>
      </c>
      <c r="G196" t="s">
        <v>22</v>
      </c>
      <c r="H196" t="s">
        <v>34</v>
      </c>
      <c r="I196" t="s">
        <v>70</v>
      </c>
      <c r="J196" t="s">
        <v>71</v>
      </c>
      <c r="K196">
        <v>2</v>
      </c>
      <c r="L196">
        <v>85500</v>
      </c>
      <c r="M196">
        <v>58900</v>
      </c>
      <c r="N196">
        <v>0.15</v>
      </c>
      <c r="O196" t="s">
        <v>26</v>
      </c>
      <c r="P196" t="s">
        <v>48</v>
      </c>
    </row>
    <row r="197" spans="1:16" x14ac:dyDescent="0.25">
      <c r="A197" t="s">
        <v>439</v>
      </c>
      <c r="B197" t="s">
        <v>318</v>
      </c>
      <c r="C197" t="s">
        <v>18</v>
      </c>
      <c r="D197" t="s">
        <v>31</v>
      </c>
      <c r="E197" t="s">
        <v>32</v>
      </c>
      <c r="F197" t="s">
        <v>21</v>
      </c>
      <c r="G197" t="s">
        <v>62</v>
      </c>
      <c r="H197" t="s">
        <v>23</v>
      </c>
      <c r="I197" t="s">
        <v>75</v>
      </c>
      <c r="J197" t="s">
        <v>36</v>
      </c>
      <c r="K197">
        <v>15</v>
      </c>
      <c r="L197">
        <v>180000</v>
      </c>
      <c r="M197">
        <v>136500</v>
      </c>
      <c r="N197">
        <v>0</v>
      </c>
      <c r="O197" t="s">
        <v>52</v>
      </c>
      <c r="P197" t="s">
        <v>48</v>
      </c>
    </row>
    <row r="198" spans="1:16" x14ac:dyDescent="0.25">
      <c r="A198" t="s">
        <v>440</v>
      </c>
      <c r="B198" t="s">
        <v>441</v>
      </c>
      <c r="C198" t="s">
        <v>40</v>
      </c>
      <c r="D198" t="s">
        <v>41</v>
      </c>
      <c r="E198" t="s">
        <v>42</v>
      </c>
      <c r="F198" t="s">
        <v>43</v>
      </c>
      <c r="G198" t="s">
        <v>44</v>
      </c>
      <c r="H198" t="s">
        <v>96</v>
      </c>
      <c r="I198" t="s">
        <v>105</v>
      </c>
      <c r="J198" t="s">
        <v>71</v>
      </c>
      <c r="K198">
        <v>3</v>
      </c>
      <c r="L198">
        <v>183750</v>
      </c>
      <c r="M198">
        <v>126000</v>
      </c>
      <c r="N198">
        <v>0</v>
      </c>
      <c r="O198" t="s">
        <v>47</v>
      </c>
      <c r="P198" t="s">
        <v>72</v>
      </c>
    </row>
    <row r="199" spans="1:16" x14ac:dyDescent="0.25">
      <c r="A199" t="s">
        <v>442</v>
      </c>
      <c r="B199" t="s">
        <v>443</v>
      </c>
      <c r="C199" t="s">
        <v>30</v>
      </c>
      <c r="D199" t="s">
        <v>136</v>
      </c>
      <c r="E199" t="s">
        <v>137</v>
      </c>
      <c r="F199" t="s">
        <v>122</v>
      </c>
      <c r="G199" t="s">
        <v>44</v>
      </c>
      <c r="H199" t="s">
        <v>34</v>
      </c>
      <c r="I199" t="s">
        <v>75</v>
      </c>
      <c r="J199" t="s">
        <v>36</v>
      </c>
      <c r="K199">
        <v>3</v>
      </c>
      <c r="L199">
        <v>180000</v>
      </c>
      <c r="M199">
        <v>130000</v>
      </c>
      <c r="N199">
        <v>0</v>
      </c>
      <c r="O199" t="s">
        <v>26</v>
      </c>
      <c r="P199" t="s">
        <v>48</v>
      </c>
    </row>
    <row r="200" spans="1:16" x14ac:dyDescent="0.25">
      <c r="A200" t="s">
        <v>444</v>
      </c>
      <c r="B200" t="s">
        <v>17</v>
      </c>
      <c r="C200" t="s">
        <v>40</v>
      </c>
      <c r="D200" t="s">
        <v>78</v>
      </c>
      <c r="E200" t="s">
        <v>79</v>
      </c>
      <c r="F200" t="s">
        <v>80</v>
      </c>
      <c r="G200" t="s">
        <v>44</v>
      </c>
      <c r="H200" t="s">
        <v>96</v>
      </c>
      <c r="I200" t="s">
        <v>55</v>
      </c>
      <c r="J200" t="s">
        <v>56</v>
      </c>
      <c r="K200">
        <v>2</v>
      </c>
      <c r="L200">
        <v>48000</v>
      </c>
      <c r="M200">
        <v>28500</v>
      </c>
      <c r="N200">
        <v>0</v>
      </c>
      <c r="O200" t="s">
        <v>57</v>
      </c>
      <c r="P200" t="s">
        <v>72</v>
      </c>
    </row>
    <row r="201" spans="1:16" x14ac:dyDescent="0.25">
      <c r="A201" t="s">
        <v>445</v>
      </c>
      <c r="B201" t="s">
        <v>130</v>
      </c>
      <c r="C201" t="s">
        <v>30</v>
      </c>
      <c r="D201" t="s">
        <v>60</v>
      </c>
      <c r="E201" t="s">
        <v>61</v>
      </c>
      <c r="F201" t="s">
        <v>43</v>
      </c>
      <c r="G201" t="s">
        <v>22</v>
      </c>
      <c r="H201" t="s">
        <v>63</v>
      </c>
      <c r="I201" t="s">
        <v>55</v>
      </c>
      <c r="J201" t="s">
        <v>56</v>
      </c>
      <c r="K201">
        <v>3</v>
      </c>
      <c r="L201">
        <v>48000</v>
      </c>
      <c r="M201">
        <v>30000</v>
      </c>
      <c r="N201">
        <v>0</v>
      </c>
      <c r="O201" t="s">
        <v>47</v>
      </c>
      <c r="P201" t="s">
        <v>27</v>
      </c>
    </row>
    <row r="202" spans="1:16" x14ac:dyDescent="0.25">
      <c r="A202" t="s">
        <v>446</v>
      </c>
      <c r="B202" t="s">
        <v>447</v>
      </c>
      <c r="C202" t="s">
        <v>30</v>
      </c>
      <c r="D202" t="s">
        <v>60</v>
      </c>
      <c r="E202" t="s">
        <v>61</v>
      </c>
      <c r="F202" t="s">
        <v>43</v>
      </c>
      <c r="G202" t="s">
        <v>62</v>
      </c>
      <c r="H202" t="s">
        <v>96</v>
      </c>
      <c r="I202" t="s">
        <v>102</v>
      </c>
      <c r="J202" t="s">
        <v>25</v>
      </c>
      <c r="K202">
        <v>1</v>
      </c>
      <c r="L202">
        <v>37800</v>
      </c>
      <c r="M202">
        <v>27300</v>
      </c>
      <c r="N202">
        <v>0</v>
      </c>
      <c r="O202" t="s">
        <v>57</v>
      </c>
      <c r="P202" t="s">
        <v>72</v>
      </c>
    </row>
    <row r="203" spans="1:16" x14ac:dyDescent="0.25">
      <c r="A203" t="s">
        <v>448</v>
      </c>
      <c r="B203" t="s">
        <v>124</v>
      </c>
      <c r="C203" t="s">
        <v>30</v>
      </c>
      <c r="D203" t="s">
        <v>131</v>
      </c>
      <c r="E203" t="s">
        <v>132</v>
      </c>
      <c r="F203" t="s">
        <v>80</v>
      </c>
      <c r="G203" t="s">
        <v>62</v>
      </c>
      <c r="H203" t="s">
        <v>112</v>
      </c>
      <c r="I203" t="s">
        <v>105</v>
      </c>
      <c r="J203" t="s">
        <v>71</v>
      </c>
      <c r="K203">
        <v>2</v>
      </c>
      <c r="L203">
        <v>166250</v>
      </c>
      <c r="M203">
        <v>126000</v>
      </c>
      <c r="N203">
        <v>0</v>
      </c>
      <c r="O203" t="s">
        <v>37</v>
      </c>
      <c r="P203" t="s">
        <v>27</v>
      </c>
    </row>
    <row r="204" spans="1:16" x14ac:dyDescent="0.25">
      <c r="A204" t="s">
        <v>449</v>
      </c>
      <c r="B204" t="s">
        <v>450</v>
      </c>
      <c r="C204" t="s">
        <v>30</v>
      </c>
      <c r="D204" t="s">
        <v>120</v>
      </c>
      <c r="E204" t="s">
        <v>121</v>
      </c>
      <c r="F204" t="s">
        <v>122</v>
      </c>
      <c r="G204" t="s">
        <v>33</v>
      </c>
      <c r="H204" t="s">
        <v>23</v>
      </c>
      <c r="I204" t="s">
        <v>93</v>
      </c>
      <c r="J204" t="s">
        <v>46</v>
      </c>
      <c r="K204">
        <v>8</v>
      </c>
      <c r="L204">
        <v>104500</v>
      </c>
      <c r="M204">
        <v>82000</v>
      </c>
      <c r="N204">
        <v>0.15</v>
      </c>
      <c r="O204" t="s">
        <v>47</v>
      </c>
      <c r="P204" t="s">
        <v>48</v>
      </c>
    </row>
    <row r="205" spans="1:16" x14ac:dyDescent="0.25">
      <c r="A205" t="s">
        <v>451</v>
      </c>
      <c r="B205" t="s">
        <v>452</v>
      </c>
      <c r="C205" t="s">
        <v>18</v>
      </c>
      <c r="D205" t="s">
        <v>131</v>
      </c>
      <c r="E205" t="s">
        <v>132</v>
      </c>
      <c r="F205" t="s">
        <v>80</v>
      </c>
      <c r="G205" t="s">
        <v>62</v>
      </c>
      <c r="H205" t="s">
        <v>23</v>
      </c>
      <c r="I205" t="s">
        <v>51</v>
      </c>
      <c r="J205" t="s">
        <v>36</v>
      </c>
      <c r="K205">
        <v>1</v>
      </c>
      <c r="L205">
        <v>308000</v>
      </c>
      <c r="M205">
        <v>210000</v>
      </c>
      <c r="N205">
        <v>0.1</v>
      </c>
      <c r="O205" t="s">
        <v>37</v>
      </c>
      <c r="P205" t="s">
        <v>48</v>
      </c>
    </row>
    <row r="206" spans="1:16" x14ac:dyDescent="0.25">
      <c r="A206" t="s">
        <v>453</v>
      </c>
      <c r="B206" t="s">
        <v>454</v>
      </c>
      <c r="C206" t="s">
        <v>18</v>
      </c>
      <c r="D206" t="s">
        <v>120</v>
      </c>
      <c r="E206" t="s">
        <v>121</v>
      </c>
      <c r="F206" t="s">
        <v>122</v>
      </c>
      <c r="G206" t="s">
        <v>33</v>
      </c>
      <c r="H206" t="s">
        <v>34</v>
      </c>
      <c r="I206" t="s">
        <v>51</v>
      </c>
      <c r="J206" t="s">
        <v>36</v>
      </c>
      <c r="K206">
        <v>2</v>
      </c>
      <c r="L206">
        <v>280000</v>
      </c>
      <c r="M206">
        <v>220500</v>
      </c>
      <c r="N206">
        <v>0</v>
      </c>
      <c r="O206" t="s">
        <v>26</v>
      </c>
      <c r="P206" t="s">
        <v>72</v>
      </c>
    </row>
    <row r="207" spans="1:16" x14ac:dyDescent="0.25">
      <c r="A207" t="s">
        <v>455</v>
      </c>
      <c r="B207" t="s">
        <v>456</v>
      </c>
      <c r="C207" t="s">
        <v>40</v>
      </c>
      <c r="D207" t="s">
        <v>131</v>
      </c>
      <c r="E207" t="s">
        <v>132</v>
      </c>
      <c r="F207" t="s">
        <v>80</v>
      </c>
      <c r="G207" t="s">
        <v>22</v>
      </c>
      <c r="H207" t="s">
        <v>34</v>
      </c>
      <c r="I207" t="s">
        <v>97</v>
      </c>
      <c r="J207" t="s">
        <v>56</v>
      </c>
      <c r="K207">
        <v>1</v>
      </c>
      <c r="L207">
        <v>125000</v>
      </c>
      <c r="M207">
        <v>85000</v>
      </c>
      <c r="N207">
        <v>0.15</v>
      </c>
      <c r="O207" t="s">
        <v>52</v>
      </c>
      <c r="P207" t="s">
        <v>72</v>
      </c>
    </row>
    <row r="208" spans="1:16" x14ac:dyDescent="0.25">
      <c r="A208" t="s">
        <v>457</v>
      </c>
      <c r="B208" t="s">
        <v>458</v>
      </c>
      <c r="C208" t="s">
        <v>40</v>
      </c>
      <c r="D208" t="s">
        <v>83</v>
      </c>
      <c r="E208" t="s">
        <v>84</v>
      </c>
      <c r="F208" t="s">
        <v>85</v>
      </c>
      <c r="G208" t="s">
        <v>33</v>
      </c>
      <c r="H208" t="s">
        <v>34</v>
      </c>
      <c r="I208" t="s">
        <v>35</v>
      </c>
      <c r="J208" t="s">
        <v>36</v>
      </c>
      <c r="K208">
        <v>2</v>
      </c>
      <c r="L208">
        <v>405000</v>
      </c>
      <c r="M208">
        <v>332500</v>
      </c>
      <c r="N208">
        <v>0</v>
      </c>
      <c r="O208" t="s">
        <v>90</v>
      </c>
      <c r="P208" t="s">
        <v>48</v>
      </c>
    </row>
    <row r="209" spans="1:16" x14ac:dyDescent="0.25">
      <c r="A209" t="s">
        <v>459</v>
      </c>
      <c r="B209" t="s">
        <v>460</v>
      </c>
      <c r="C209" t="s">
        <v>40</v>
      </c>
      <c r="D209" t="s">
        <v>136</v>
      </c>
      <c r="E209" t="s">
        <v>137</v>
      </c>
      <c r="F209" t="s">
        <v>122</v>
      </c>
      <c r="G209" t="s">
        <v>22</v>
      </c>
      <c r="H209" t="s">
        <v>23</v>
      </c>
      <c r="I209" t="s">
        <v>24</v>
      </c>
      <c r="J209" t="s">
        <v>25</v>
      </c>
      <c r="K209">
        <v>5</v>
      </c>
      <c r="L209">
        <v>22000</v>
      </c>
      <c r="M209">
        <v>13000</v>
      </c>
      <c r="N209">
        <v>0.05</v>
      </c>
      <c r="O209" t="s">
        <v>90</v>
      </c>
      <c r="P209" t="s">
        <v>72</v>
      </c>
    </row>
    <row r="210" spans="1:16" x14ac:dyDescent="0.25">
      <c r="A210" t="s">
        <v>461</v>
      </c>
      <c r="B210" t="s">
        <v>189</v>
      </c>
      <c r="C210" t="s">
        <v>18</v>
      </c>
      <c r="D210" t="s">
        <v>88</v>
      </c>
      <c r="E210" t="s">
        <v>89</v>
      </c>
      <c r="F210" t="s">
        <v>43</v>
      </c>
      <c r="G210" t="s">
        <v>22</v>
      </c>
      <c r="H210" t="s">
        <v>96</v>
      </c>
      <c r="I210" t="s">
        <v>24</v>
      </c>
      <c r="J210" t="s">
        <v>25</v>
      </c>
      <c r="K210">
        <v>1</v>
      </c>
      <c r="L210">
        <v>22000</v>
      </c>
      <c r="M210">
        <v>13650</v>
      </c>
      <c r="N210">
        <v>0.1</v>
      </c>
      <c r="O210" t="s">
        <v>57</v>
      </c>
      <c r="P210" t="s">
        <v>27</v>
      </c>
    </row>
    <row r="211" spans="1:16" x14ac:dyDescent="0.25">
      <c r="A211" t="s">
        <v>462</v>
      </c>
      <c r="B211" t="s">
        <v>195</v>
      </c>
      <c r="C211" t="s">
        <v>40</v>
      </c>
      <c r="D211" t="s">
        <v>120</v>
      </c>
      <c r="E211" t="s">
        <v>121</v>
      </c>
      <c r="F211" t="s">
        <v>122</v>
      </c>
      <c r="G211" t="s">
        <v>44</v>
      </c>
      <c r="H211" t="s">
        <v>63</v>
      </c>
      <c r="I211" t="s">
        <v>97</v>
      </c>
      <c r="J211" t="s">
        <v>56</v>
      </c>
      <c r="K211">
        <v>5</v>
      </c>
      <c r="L211">
        <v>125000</v>
      </c>
      <c r="M211">
        <v>89250</v>
      </c>
      <c r="N211">
        <v>0</v>
      </c>
      <c r="O211" t="s">
        <v>64</v>
      </c>
      <c r="P211" t="s">
        <v>72</v>
      </c>
    </row>
    <row r="212" spans="1:16" x14ac:dyDescent="0.25">
      <c r="A212" t="s">
        <v>463</v>
      </c>
      <c r="B212" t="s">
        <v>420</v>
      </c>
      <c r="C212" t="s">
        <v>18</v>
      </c>
      <c r="D212" t="s">
        <v>19</v>
      </c>
      <c r="E212" t="s">
        <v>20</v>
      </c>
      <c r="F212" t="s">
        <v>21</v>
      </c>
      <c r="G212" t="s">
        <v>22</v>
      </c>
      <c r="H212" t="s">
        <v>96</v>
      </c>
      <c r="I212" t="s">
        <v>102</v>
      </c>
      <c r="J212" t="s">
        <v>25</v>
      </c>
      <c r="K212">
        <v>1</v>
      </c>
      <c r="L212">
        <v>44100</v>
      </c>
      <c r="M212">
        <v>27300</v>
      </c>
      <c r="N212">
        <v>0.1</v>
      </c>
      <c r="O212" t="s">
        <v>148</v>
      </c>
      <c r="P212" t="s">
        <v>48</v>
      </c>
    </row>
    <row r="213" spans="1:16" x14ac:dyDescent="0.25">
      <c r="A213" t="s">
        <v>464</v>
      </c>
      <c r="B213" t="s">
        <v>465</v>
      </c>
      <c r="C213" t="s">
        <v>40</v>
      </c>
      <c r="D213" t="s">
        <v>131</v>
      </c>
      <c r="E213" t="s">
        <v>132</v>
      </c>
      <c r="F213" t="s">
        <v>80</v>
      </c>
      <c r="G213" t="s">
        <v>44</v>
      </c>
      <c r="H213" t="s">
        <v>23</v>
      </c>
      <c r="I213" t="s">
        <v>97</v>
      </c>
      <c r="J213" t="s">
        <v>56</v>
      </c>
      <c r="K213">
        <v>5</v>
      </c>
      <c r="L213">
        <v>137500</v>
      </c>
      <c r="M213">
        <v>80750</v>
      </c>
      <c r="N213">
        <v>0</v>
      </c>
      <c r="O213" t="s">
        <v>64</v>
      </c>
      <c r="P213" t="s">
        <v>72</v>
      </c>
    </row>
    <row r="214" spans="1:16" x14ac:dyDescent="0.25">
      <c r="A214" t="s">
        <v>466</v>
      </c>
      <c r="B214" t="s">
        <v>395</v>
      </c>
      <c r="C214" t="s">
        <v>30</v>
      </c>
      <c r="D214" t="s">
        <v>157</v>
      </c>
      <c r="E214" t="s">
        <v>158</v>
      </c>
      <c r="F214" t="s">
        <v>21</v>
      </c>
      <c r="G214" t="s">
        <v>62</v>
      </c>
      <c r="H214" t="s">
        <v>34</v>
      </c>
      <c r="I214" t="s">
        <v>35</v>
      </c>
      <c r="J214" t="s">
        <v>36</v>
      </c>
      <c r="K214">
        <v>3</v>
      </c>
      <c r="L214">
        <v>450000</v>
      </c>
      <c r="M214">
        <v>350000</v>
      </c>
      <c r="N214">
        <v>0.15</v>
      </c>
      <c r="O214" t="s">
        <v>57</v>
      </c>
      <c r="P214" t="s">
        <v>48</v>
      </c>
    </row>
    <row r="215" spans="1:16" x14ac:dyDescent="0.25">
      <c r="A215" t="s">
        <v>467</v>
      </c>
      <c r="B215" t="s">
        <v>468</v>
      </c>
      <c r="C215" t="s">
        <v>30</v>
      </c>
      <c r="D215" t="s">
        <v>120</v>
      </c>
      <c r="E215" t="s">
        <v>121</v>
      </c>
      <c r="F215" t="s">
        <v>122</v>
      </c>
      <c r="G215" t="s">
        <v>44</v>
      </c>
      <c r="H215" t="s">
        <v>112</v>
      </c>
      <c r="I215" t="s">
        <v>75</v>
      </c>
      <c r="J215" t="s">
        <v>36</v>
      </c>
      <c r="K215">
        <v>4</v>
      </c>
      <c r="L215">
        <v>180000</v>
      </c>
      <c r="M215">
        <v>130000</v>
      </c>
      <c r="N215">
        <v>0</v>
      </c>
      <c r="O215" t="s">
        <v>37</v>
      </c>
      <c r="P215" t="s">
        <v>133</v>
      </c>
    </row>
    <row r="216" spans="1:16" x14ac:dyDescent="0.25">
      <c r="A216" t="s">
        <v>469</v>
      </c>
      <c r="B216" t="s">
        <v>181</v>
      </c>
      <c r="C216" t="s">
        <v>40</v>
      </c>
      <c r="D216" t="s">
        <v>88</v>
      </c>
      <c r="E216" t="s">
        <v>89</v>
      </c>
      <c r="F216" t="s">
        <v>43</v>
      </c>
      <c r="G216" t="s">
        <v>33</v>
      </c>
      <c r="H216" t="s">
        <v>34</v>
      </c>
      <c r="I216" t="s">
        <v>35</v>
      </c>
      <c r="J216" t="s">
        <v>36</v>
      </c>
      <c r="K216">
        <v>12</v>
      </c>
      <c r="L216">
        <v>472500</v>
      </c>
      <c r="M216">
        <v>367500</v>
      </c>
      <c r="N216">
        <v>0.1</v>
      </c>
      <c r="O216" t="s">
        <v>57</v>
      </c>
      <c r="P216" t="s">
        <v>27</v>
      </c>
    </row>
    <row r="217" spans="1:16" x14ac:dyDescent="0.25">
      <c r="A217" t="s">
        <v>470</v>
      </c>
      <c r="B217" t="s">
        <v>471</v>
      </c>
      <c r="C217" t="s">
        <v>18</v>
      </c>
      <c r="D217" t="s">
        <v>157</v>
      </c>
      <c r="E217" t="s">
        <v>158</v>
      </c>
      <c r="F217" t="s">
        <v>21</v>
      </c>
      <c r="G217" t="s">
        <v>33</v>
      </c>
      <c r="H217" t="s">
        <v>96</v>
      </c>
      <c r="I217" t="s">
        <v>55</v>
      </c>
      <c r="J217" t="s">
        <v>56</v>
      </c>
      <c r="K217">
        <v>6</v>
      </c>
      <c r="L217">
        <v>48000</v>
      </c>
      <c r="M217">
        <v>30000</v>
      </c>
      <c r="N217">
        <v>0</v>
      </c>
      <c r="O217" t="s">
        <v>26</v>
      </c>
      <c r="P217" t="s">
        <v>27</v>
      </c>
    </row>
    <row r="218" spans="1:16" x14ac:dyDescent="0.25">
      <c r="A218" t="s">
        <v>472</v>
      </c>
      <c r="B218" t="s">
        <v>473</v>
      </c>
      <c r="C218" t="s">
        <v>30</v>
      </c>
      <c r="D218" t="s">
        <v>78</v>
      </c>
      <c r="E218" t="s">
        <v>79</v>
      </c>
      <c r="F218" t="s">
        <v>80</v>
      </c>
      <c r="G218" t="s">
        <v>22</v>
      </c>
      <c r="H218" t="s">
        <v>112</v>
      </c>
      <c r="I218" t="s">
        <v>55</v>
      </c>
      <c r="J218" t="s">
        <v>56</v>
      </c>
      <c r="K218">
        <v>4</v>
      </c>
      <c r="L218">
        <v>48000</v>
      </c>
      <c r="M218">
        <v>30000</v>
      </c>
      <c r="N218">
        <v>0</v>
      </c>
      <c r="O218" t="s">
        <v>47</v>
      </c>
      <c r="P218" t="s">
        <v>48</v>
      </c>
    </row>
    <row r="219" spans="1:16" x14ac:dyDescent="0.25">
      <c r="A219" t="s">
        <v>474</v>
      </c>
      <c r="B219" t="s">
        <v>475</v>
      </c>
      <c r="C219" t="s">
        <v>30</v>
      </c>
      <c r="D219" t="s">
        <v>78</v>
      </c>
      <c r="E219" t="s">
        <v>79</v>
      </c>
      <c r="F219" t="s">
        <v>80</v>
      </c>
      <c r="G219" t="s">
        <v>22</v>
      </c>
      <c r="H219" t="s">
        <v>96</v>
      </c>
      <c r="I219" t="s">
        <v>51</v>
      </c>
      <c r="J219" t="s">
        <v>36</v>
      </c>
      <c r="K219">
        <v>5</v>
      </c>
      <c r="L219">
        <v>266000</v>
      </c>
      <c r="M219">
        <v>199500</v>
      </c>
      <c r="N219">
        <v>0</v>
      </c>
      <c r="O219" t="s">
        <v>64</v>
      </c>
      <c r="P219" t="s">
        <v>27</v>
      </c>
    </row>
    <row r="220" spans="1:16" x14ac:dyDescent="0.25">
      <c r="A220" t="s">
        <v>476</v>
      </c>
      <c r="B220" t="s">
        <v>477</v>
      </c>
      <c r="C220" t="s">
        <v>18</v>
      </c>
      <c r="D220" t="s">
        <v>136</v>
      </c>
      <c r="E220" t="s">
        <v>137</v>
      </c>
      <c r="F220" t="s">
        <v>122</v>
      </c>
      <c r="G220" t="s">
        <v>44</v>
      </c>
      <c r="H220" t="s">
        <v>34</v>
      </c>
      <c r="I220" t="s">
        <v>45</v>
      </c>
      <c r="J220" t="s">
        <v>46</v>
      </c>
      <c r="K220">
        <v>5</v>
      </c>
      <c r="L220">
        <v>17575</v>
      </c>
      <c r="M220">
        <v>15225</v>
      </c>
      <c r="N220">
        <v>0</v>
      </c>
      <c r="O220" t="s">
        <v>52</v>
      </c>
      <c r="P220" t="s">
        <v>48</v>
      </c>
    </row>
    <row r="221" spans="1:16" x14ac:dyDescent="0.25">
      <c r="A221" t="s">
        <v>478</v>
      </c>
      <c r="B221" t="s">
        <v>479</v>
      </c>
      <c r="C221" t="s">
        <v>40</v>
      </c>
      <c r="D221" t="s">
        <v>110</v>
      </c>
      <c r="E221" t="s">
        <v>111</v>
      </c>
      <c r="F221" t="s">
        <v>85</v>
      </c>
      <c r="G221" t="s">
        <v>62</v>
      </c>
      <c r="H221" t="s">
        <v>112</v>
      </c>
      <c r="I221" t="s">
        <v>102</v>
      </c>
      <c r="J221" t="s">
        <v>25</v>
      </c>
      <c r="K221" t="s">
        <v>480</v>
      </c>
      <c r="L221">
        <v>44100</v>
      </c>
      <c r="M221">
        <v>26000</v>
      </c>
      <c r="N221">
        <v>0.05</v>
      </c>
      <c r="O221" t="s">
        <v>37</v>
      </c>
      <c r="P221" t="s">
        <v>133</v>
      </c>
    </row>
    <row r="222" spans="1:16" x14ac:dyDescent="0.25">
      <c r="A222" t="s">
        <v>481</v>
      </c>
      <c r="B222" t="s">
        <v>376</v>
      </c>
      <c r="C222" t="s">
        <v>18</v>
      </c>
      <c r="D222" t="s">
        <v>120</v>
      </c>
      <c r="E222" t="s">
        <v>121</v>
      </c>
      <c r="F222" t="s">
        <v>122</v>
      </c>
      <c r="G222" t="s">
        <v>33</v>
      </c>
      <c r="H222" t="s">
        <v>63</v>
      </c>
      <c r="I222" t="s">
        <v>93</v>
      </c>
      <c r="J222" t="s">
        <v>46</v>
      </c>
      <c r="K222">
        <v>2</v>
      </c>
      <c r="L222">
        <v>95000</v>
      </c>
      <c r="M222">
        <v>82000</v>
      </c>
      <c r="N222">
        <v>0.1</v>
      </c>
      <c r="O222" t="s">
        <v>64</v>
      </c>
      <c r="P222" t="s">
        <v>72</v>
      </c>
    </row>
    <row r="223" spans="1:16" x14ac:dyDescent="0.25">
      <c r="A223" t="s">
        <v>482</v>
      </c>
      <c r="B223" t="s">
        <v>244</v>
      </c>
      <c r="C223" t="s">
        <v>40</v>
      </c>
      <c r="D223" t="s">
        <v>88</v>
      </c>
      <c r="E223" t="s">
        <v>89</v>
      </c>
      <c r="F223" t="s">
        <v>43</v>
      </c>
      <c r="G223" t="s">
        <v>33</v>
      </c>
      <c r="H223" t="s">
        <v>63</v>
      </c>
      <c r="I223" t="s">
        <v>105</v>
      </c>
      <c r="J223" t="s">
        <v>71</v>
      </c>
      <c r="K223">
        <v>3</v>
      </c>
      <c r="L223">
        <v>175000</v>
      </c>
      <c r="M223">
        <v>120000</v>
      </c>
      <c r="N223">
        <v>0.15</v>
      </c>
      <c r="O223" t="s">
        <v>90</v>
      </c>
      <c r="P223" t="s">
        <v>48</v>
      </c>
    </row>
    <row r="224" spans="1:16" x14ac:dyDescent="0.25">
      <c r="A224" t="s">
        <v>483</v>
      </c>
      <c r="B224" t="s">
        <v>436</v>
      </c>
      <c r="C224" t="s">
        <v>30</v>
      </c>
      <c r="D224" t="s">
        <v>88</v>
      </c>
      <c r="E224" t="s">
        <v>89</v>
      </c>
      <c r="F224" t="s">
        <v>43</v>
      </c>
      <c r="G224" t="s">
        <v>62</v>
      </c>
      <c r="H224" t="s">
        <v>63</v>
      </c>
      <c r="I224" t="s">
        <v>113</v>
      </c>
      <c r="J224" t="s">
        <v>36</v>
      </c>
      <c r="K224">
        <v>2</v>
      </c>
      <c r="L224">
        <v>160000</v>
      </c>
      <c r="M224">
        <v>115000</v>
      </c>
      <c r="N224">
        <v>0.05</v>
      </c>
      <c r="O224" t="s">
        <v>37</v>
      </c>
      <c r="P224" t="s">
        <v>27</v>
      </c>
    </row>
    <row r="225" spans="1:16" x14ac:dyDescent="0.25">
      <c r="A225" t="s">
        <v>484</v>
      </c>
      <c r="B225" t="s">
        <v>267</v>
      </c>
      <c r="C225" t="s">
        <v>18</v>
      </c>
      <c r="D225" t="s">
        <v>120</v>
      </c>
      <c r="E225" t="s">
        <v>121</v>
      </c>
      <c r="F225" t="s">
        <v>122</v>
      </c>
      <c r="G225" t="s">
        <v>33</v>
      </c>
      <c r="H225" t="s">
        <v>34</v>
      </c>
      <c r="I225" t="s">
        <v>102</v>
      </c>
      <c r="J225" t="s">
        <v>25</v>
      </c>
      <c r="K225">
        <v>5</v>
      </c>
      <c r="L225">
        <v>42000</v>
      </c>
      <c r="M225">
        <v>26000</v>
      </c>
      <c r="N225">
        <v>0.15</v>
      </c>
      <c r="O225" t="s">
        <v>148</v>
      </c>
      <c r="P225" t="s">
        <v>48</v>
      </c>
    </row>
    <row r="226" spans="1:16" x14ac:dyDescent="0.25">
      <c r="A226" t="s">
        <v>485</v>
      </c>
      <c r="B226" t="s">
        <v>154</v>
      </c>
      <c r="C226" t="s">
        <v>30</v>
      </c>
      <c r="D226" t="s">
        <v>31</v>
      </c>
      <c r="E226" t="s">
        <v>32</v>
      </c>
      <c r="F226" t="s">
        <v>21</v>
      </c>
      <c r="G226" t="s">
        <v>44</v>
      </c>
      <c r="H226" t="s">
        <v>96</v>
      </c>
      <c r="I226" t="s">
        <v>93</v>
      </c>
      <c r="J226" t="s">
        <v>46</v>
      </c>
      <c r="K226">
        <v>8</v>
      </c>
      <c r="L226">
        <v>85500</v>
      </c>
      <c r="M226">
        <v>77900</v>
      </c>
      <c r="N226">
        <v>0</v>
      </c>
      <c r="O226" t="s">
        <v>90</v>
      </c>
      <c r="P226" t="s">
        <v>48</v>
      </c>
    </row>
    <row r="227" spans="1:16" x14ac:dyDescent="0.25">
      <c r="A227" t="s">
        <v>486</v>
      </c>
      <c r="B227" t="s">
        <v>179</v>
      </c>
      <c r="C227" t="s">
        <v>30</v>
      </c>
      <c r="D227" t="s">
        <v>60</v>
      </c>
      <c r="E227" t="s">
        <v>61</v>
      </c>
      <c r="F227" t="s">
        <v>43</v>
      </c>
      <c r="G227" t="s">
        <v>33</v>
      </c>
      <c r="H227" t="s">
        <v>112</v>
      </c>
      <c r="I227" t="s">
        <v>35</v>
      </c>
      <c r="J227" t="s">
        <v>36</v>
      </c>
      <c r="K227">
        <v>3</v>
      </c>
      <c r="L227">
        <v>450000</v>
      </c>
      <c r="M227">
        <v>332500</v>
      </c>
      <c r="N227">
        <v>0.1</v>
      </c>
      <c r="O227" t="s">
        <v>148</v>
      </c>
      <c r="P227" t="s">
        <v>27</v>
      </c>
    </row>
    <row r="228" spans="1:16" x14ac:dyDescent="0.25">
      <c r="A228" t="s">
        <v>487</v>
      </c>
      <c r="B228" t="s">
        <v>296</v>
      </c>
      <c r="C228" t="s">
        <v>40</v>
      </c>
      <c r="D228" t="s">
        <v>78</v>
      </c>
      <c r="E228" t="s">
        <v>79</v>
      </c>
      <c r="F228" t="s">
        <v>80</v>
      </c>
      <c r="G228" t="s">
        <v>22</v>
      </c>
      <c r="H228" t="s">
        <v>23</v>
      </c>
      <c r="I228" t="s">
        <v>35</v>
      </c>
      <c r="J228" t="s">
        <v>36</v>
      </c>
      <c r="K228">
        <v>4</v>
      </c>
      <c r="L228">
        <v>405000</v>
      </c>
      <c r="M228">
        <v>332500</v>
      </c>
      <c r="N228">
        <v>0.1</v>
      </c>
      <c r="O228" t="s">
        <v>26</v>
      </c>
      <c r="P228" t="s">
        <v>133</v>
      </c>
    </row>
    <row r="229" spans="1:16" x14ac:dyDescent="0.25">
      <c r="A229" t="s">
        <v>488</v>
      </c>
      <c r="B229" t="s">
        <v>54</v>
      </c>
      <c r="C229" t="s">
        <v>30</v>
      </c>
      <c r="D229" t="s">
        <v>19</v>
      </c>
      <c r="E229" t="s">
        <v>20</v>
      </c>
      <c r="F229" t="s">
        <v>21</v>
      </c>
      <c r="G229" t="s">
        <v>62</v>
      </c>
      <c r="H229" t="s">
        <v>63</v>
      </c>
      <c r="I229" t="s">
        <v>75</v>
      </c>
      <c r="J229" t="s">
        <v>36</v>
      </c>
      <c r="K229">
        <v>10</v>
      </c>
      <c r="L229">
        <v>180000</v>
      </c>
      <c r="M229">
        <v>130000</v>
      </c>
      <c r="N229">
        <v>0</v>
      </c>
      <c r="O229" t="s">
        <v>57</v>
      </c>
      <c r="P229" t="s">
        <v>133</v>
      </c>
    </row>
    <row r="230" spans="1:16" x14ac:dyDescent="0.25">
      <c r="A230" t="s">
        <v>489</v>
      </c>
      <c r="B230" t="s">
        <v>490</v>
      </c>
      <c r="C230" t="s">
        <v>18</v>
      </c>
      <c r="D230" t="s">
        <v>19</v>
      </c>
      <c r="E230" t="s">
        <v>20</v>
      </c>
      <c r="F230" t="s">
        <v>21</v>
      </c>
      <c r="G230" t="s">
        <v>62</v>
      </c>
      <c r="H230" t="s">
        <v>96</v>
      </c>
      <c r="I230" t="s">
        <v>55</v>
      </c>
      <c r="J230" t="s">
        <v>56</v>
      </c>
      <c r="K230">
        <v>3</v>
      </c>
      <c r="L230">
        <v>48000</v>
      </c>
      <c r="M230">
        <v>31500</v>
      </c>
      <c r="N230">
        <v>0.1</v>
      </c>
      <c r="O230" t="s">
        <v>148</v>
      </c>
      <c r="P230" t="s">
        <v>27</v>
      </c>
    </row>
    <row r="231" spans="1:16" x14ac:dyDescent="0.25">
      <c r="A231" t="s">
        <v>491</v>
      </c>
      <c r="B231" t="s">
        <v>179</v>
      </c>
      <c r="C231" t="s">
        <v>30</v>
      </c>
      <c r="D231" t="s">
        <v>83</v>
      </c>
      <c r="E231" t="s">
        <v>84</v>
      </c>
      <c r="F231" t="s">
        <v>85</v>
      </c>
      <c r="G231" t="s">
        <v>44</v>
      </c>
      <c r="H231" t="s">
        <v>96</v>
      </c>
      <c r="I231" t="s">
        <v>51</v>
      </c>
      <c r="J231" t="s">
        <v>36</v>
      </c>
      <c r="K231">
        <v>3</v>
      </c>
      <c r="L231">
        <v>280000</v>
      </c>
      <c r="M231">
        <v>220500</v>
      </c>
      <c r="N231">
        <v>0</v>
      </c>
      <c r="O231" t="s">
        <v>37</v>
      </c>
      <c r="P231" t="s">
        <v>48</v>
      </c>
    </row>
    <row r="232" spans="1:16" x14ac:dyDescent="0.25">
      <c r="A232" t="s">
        <v>492</v>
      </c>
      <c r="B232" t="s">
        <v>372</v>
      </c>
      <c r="C232" t="s">
        <v>18</v>
      </c>
      <c r="D232" t="s">
        <v>120</v>
      </c>
      <c r="E232" t="s">
        <v>121</v>
      </c>
      <c r="F232" t="s">
        <v>122</v>
      </c>
      <c r="G232" t="s">
        <v>33</v>
      </c>
      <c r="H232" t="s">
        <v>63</v>
      </c>
      <c r="I232" t="s">
        <v>55</v>
      </c>
      <c r="J232" t="s">
        <v>56</v>
      </c>
      <c r="K232">
        <v>6</v>
      </c>
      <c r="L232">
        <v>48000</v>
      </c>
      <c r="M232">
        <v>28500</v>
      </c>
      <c r="N232">
        <v>0.1</v>
      </c>
      <c r="O232" t="s">
        <v>148</v>
      </c>
      <c r="P232" t="s">
        <v>48</v>
      </c>
    </row>
    <row r="233" spans="1:16" x14ac:dyDescent="0.25">
      <c r="A233" t="s">
        <v>493</v>
      </c>
      <c r="B233" t="s">
        <v>494</v>
      </c>
      <c r="C233" t="s">
        <v>18</v>
      </c>
      <c r="D233" t="s">
        <v>120</v>
      </c>
      <c r="E233" t="s">
        <v>121</v>
      </c>
      <c r="F233" t="s">
        <v>122</v>
      </c>
      <c r="G233" t="s">
        <v>44</v>
      </c>
      <c r="H233" t="s">
        <v>112</v>
      </c>
      <c r="I233" t="s">
        <v>51</v>
      </c>
      <c r="J233" t="s">
        <v>36</v>
      </c>
      <c r="K233">
        <v>10</v>
      </c>
      <c r="L233">
        <v>280000</v>
      </c>
      <c r="M233">
        <v>199500</v>
      </c>
      <c r="N233">
        <v>0</v>
      </c>
      <c r="O233" t="s">
        <v>52</v>
      </c>
      <c r="P233" t="s">
        <v>48</v>
      </c>
    </row>
    <row r="234" spans="1:16" x14ac:dyDescent="0.25">
      <c r="A234" t="s">
        <v>495</v>
      </c>
      <c r="B234" t="s">
        <v>347</v>
      </c>
      <c r="C234" t="s">
        <v>40</v>
      </c>
      <c r="D234" t="s">
        <v>157</v>
      </c>
      <c r="E234" t="s">
        <v>158</v>
      </c>
      <c r="F234" t="s">
        <v>21</v>
      </c>
      <c r="G234" t="s">
        <v>44</v>
      </c>
      <c r="H234" t="s">
        <v>96</v>
      </c>
      <c r="I234" t="s">
        <v>70</v>
      </c>
      <c r="J234" t="s">
        <v>71</v>
      </c>
      <c r="K234">
        <v>4</v>
      </c>
      <c r="L234">
        <v>95000</v>
      </c>
      <c r="M234">
        <v>65100</v>
      </c>
      <c r="N234">
        <v>0.15</v>
      </c>
      <c r="O234" t="s">
        <v>47</v>
      </c>
      <c r="P234" t="s">
        <v>48</v>
      </c>
    </row>
    <row r="235" spans="1:16" x14ac:dyDescent="0.25">
      <c r="A235" t="s">
        <v>496</v>
      </c>
      <c r="B235" t="s">
        <v>497</v>
      </c>
      <c r="C235" t="s">
        <v>30</v>
      </c>
      <c r="D235" t="s">
        <v>19</v>
      </c>
      <c r="E235" t="s">
        <v>20</v>
      </c>
      <c r="F235" t="s">
        <v>21</v>
      </c>
      <c r="G235" t="s">
        <v>33</v>
      </c>
      <c r="H235" t="s">
        <v>63</v>
      </c>
      <c r="I235" t="s">
        <v>35</v>
      </c>
      <c r="J235" t="s">
        <v>36</v>
      </c>
      <c r="K235">
        <v>3</v>
      </c>
      <c r="L235">
        <v>495000</v>
      </c>
      <c r="M235">
        <v>332500</v>
      </c>
      <c r="N235">
        <v>0</v>
      </c>
      <c r="O235" t="s">
        <v>148</v>
      </c>
      <c r="P235" t="s">
        <v>133</v>
      </c>
    </row>
    <row r="236" spans="1:16" x14ac:dyDescent="0.25">
      <c r="A236" t="s">
        <v>498</v>
      </c>
      <c r="B236" t="s">
        <v>499</v>
      </c>
      <c r="C236" t="s">
        <v>40</v>
      </c>
      <c r="D236" t="s">
        <v>41</v>
      </c>
      <c r="E236" t="s">
        <v>42</v>
      </c>
      <c r="F236" t="s">
        <v>43</v>
      </c>
      <c r="G236" t="s">
        <v>33</v>
      </c>
      <c r="H236" t="s">
        <v>34</v>
      </c>
      <c r="I236" t="s">
        <v>24</v>
      </c>
      <c r="J236" t="s">
        <v>25</v>
      </c>
      <c r="K236">
        <v>6</v>
      </c>
      <c r="L236">
        <v>22000</v>
      </c>
      <c r="M236">
        <v>13650</v>
      </c>
      <c r="N236">
        <v>0</v>
      </c>
      <c r="O236" t="s">
        <v>26</v>
      </c>
      <c r="P236" t="s">
        <v>133</v>
      </c>
    </row>
    <row r="237" spans="1:16" x14ac:dyDescent="0.25">
      <c r="A237" t="s">
        <v>500</v>
      </c>
      <c r="B237" t="s">
        <v>501</v>
      </c>
      <c r="C237" t="s">
        <v>40</v>
      </c>
      <c r="D237" t="s">
        <v>131</v>
      </c>
      <c r="E237" t="s">
        <v>132</v>
      </c>
      <c r="F237" t="s">
        <v>80</v>
      </c>
      <c r="G237" t="s">
        <v>44</v>
      </c>
      <c r="H237" t="s">
        <v>112</v>
      </c>
      <c r="I237" t="s">
        <v>51</v>
      </c>
      <c r="J237" t="s">
        <v>36</v>
      </c>
      <c r="K237">
        <v>2</v>
      </c>
      <c r="L237">
        <v>266000</v>
      </c>
      <c r="M237">
        <v>199500</v>
      </c>
      <c r="N237">
        <v>0</v>
      </c>
      <c r="O237" t="s">
        <v>47</v>
      </c>
      <c r="P237" t="s">
        <v>48</v>
      </c>
    </row>
    <row r="238" spans="1:16" x14ac:dyDescent="0.25">
      <c r="A238" t="s">
        <v>502</v>
      </c>
      <c r="B238" t="s">
        <v>503</v>
      </c>
      <c r="C238" t="s">
        <v>18</v>
      </c>
      <c r="D238" t="s">
        <v>19</v>
      </c>
      <c r="E238" t="s">
        <v>20</v>
      </c>
      <c r="F238" t="s">
        <v>21</v>
      </c>
      <c r="G238" t="s">
        <v>22</v>
      </c>
      <c r="H238" t="s">
        <v>34</v>
      </c>
      <c r="I238" t="s">
        <v>105</v>
      </c>
      <c r="J238" t="s">
        <v>71</v>
      </c>
      <c r="K238">
        <v>1</v>
      </c>
      <c r="L238">
        <v>175000</v>
      </c>
      <c r="M238">
        <v>126000</v>
      </c>
      <c r="N238">
        <v>0</v>
      </c>
      <c r="O238" t="s">
        <v>26</v>
      </c>
      <c r="P238" t="s">
        <v>48</v>
      </c>
    </row>
    <row r="239" spans="1:16" x14ac:dyDescent="0.25">
      <c r="A239" t="s">
        <v>504</v>
      </c>
      <c r="B239" t="s">
        <v>505</v>
      </c>
      <c r="C239" t="s">
        <v>30</v>
      </c>
      <c r="D239" t="s">
        <v>78</v>
      </c>
      <c r="E239" t="s">
        <v>79</v>
      </c>
      <c r="F239" t="s">
        <v>80</v>
      </c>
      <c r="G239" t="s">
        <v>22</v>
      </c>
      <c r="H239" t="s">
        <v>23</v>
      </c>
      <c r="I239" t="s">
        <v>97</v>
      </c>
      <c r="J239" t="s">
        <v>56</v>
      </c>
      <c r="K239">
        <v>4</v>
      </c>
      <c r="L239">
        <v>125000</v>
      </c>
      <c r="M239">
        <v>80750</v>
      </c>
      <c r="N239">
        <v>0</v>
      </c>
      <c r="O239" t="s">
        <v>47</v>
      </c>
      <c r="P239" t="s">
        <v>48</v>
      </c>
    </row>
    <row r="240" spans="1:16" x14ac:dyDescent="0.25">
      <c r="A240" t="s">
        <v>506</v>
      </c>
      <c r="B240" t="s">
        <v>320</v>
      </c>
      <c r="C240" t="s">
        <v>30</v>
      </c>
      <c r="D240" t="s">
        <v>31</v>
      </c>
      <c r="E240" t="s">
        <v>32</v>
      </c>
      <c r="F240" t="s">
        <v>21</v>
      </c>
      <c r="G240" t="s">
        <v>44</v>
      </c>
      <c r="H240" t="s">
        <v>112</v>
      </c>
      <c r="I240" t="s">
        <v>55</v>
      </c>
      <c r="J240" t="s">
        <v>56</v>
      </c>
      <c r="K240">
        <v>2</v>
      </c>
      <c r="L240">
        <v>48000</v>
      </c>
      <c r="M240">
        <v>28500</v>
      </c>
      <c r="N240">
        <v>0.15</v>
      </c>
      <c r="O240" t="s">
        <v>90</v>
      </c>
      <c r="P240" t="s">
        <v>48</v>
      </c>
    </row>
    <row r="241" spans="1:16" x14ac:dyDescent="0.25">
      <c r="A241" t="s">
        <v>507</v>
      </c>
      <c r="B241" t="s">
        <v>257</v>
      </c>
      <c r="C241" t="s">
        <v>40</v>
      </c>
      <c r="D241" t="s">
        <v>41</v>
      </c>
      <c r="E241" t="s">
        <v>42</v>
      </c>
      <c r="F241" t="s">
        <v>43</v>
      </c>
      <c r="G241" t="s">
        <v>33</v>
      </c>
      <c r="H241" t="s">
        <v>63</v>
      </c>
      <c r="I241" t="s">
        <v>75</v>
      </c>
      <c r="J241" t="s">
        <v>36</v>
      </c>
      <c r="K241">
        <v>2</v>
      </c>
      <c r="L241">
        <v>180000</v>
      </c>
      <c r="M241">
        <v>130000</v>
      </c>
      <c r="N241">
        <v>0</v>
      </c>
      <c r="O241" t="s">
        <v>37</v>
      </c>
      <c r="P241" t="s">
        <v>72</v>
      </c>
    </row>
    <row r="242" spans="1:16" x14ac:dyDescent="0.25">
      <c r="A242" t="s">
        <v>508</v>
      </c>
      <c r="B242" t="s">
        <v>509</v>
      </c>
      <c r="C242" t="s">
        <v>40</v>
      </c>
      <c r="D242" t="s">
        <v>88</v>
      </c>
      <c r="E242" t="s">
        <v>89</v>
      </c>
      <c r="F242" t="s">
        <v>43</v>
      </c>
      <c r="G242" t="s">
        <v>22</v>
      </c>
      <c r="H242" t="s">
        <v>34</v>
      </c>
      <c r="I242" t="s">
        <v>51</v>
      </c>
      <c r="J242" t="s">
        <v>36</v>
      </c>
      <c r="K242">
        <v>2</v>
      </c>
      <c r="L242">
        <v>266000</v>
      </c>
      <c r="M242">
        <v>220500</v>
      </c>
      <c r="N242">
        <v>0.1</v>
      </c>
      <c r="O242" t="s">
        <v>57</v>
      </c>
      <c r="P242" t="s">
        <v>48</v>
      </c>
    </row>
    <row r="243" spans="1:16" x14ac:dyDescent="0.25">
      <c r="A243" t="s">
        <v>510</v>
      </c>
      <c r="B243" t="s">
        <v>511</v>
      </c>
      <c r="C243" t="s">
        <v>40</v>
      </c>
      <c r="D243" t="s">
        <v>83</v>
      </c>
      <c r="E243" t="s">
        <v>84</v>
      </c>
      <c r="F243" t="s">
        <v>85</v>
      </c>
      <c r="G243" t="s">
        <v>44</v>
      </c>
      <c r="H243" t="s">
        <v>63</v>
      </c>
      <c r="I243" t="s">
        <v>35</v>
      </c>
      <c r="J243" t="s">
        <v>36</v>
      </c>
      <c r="K243">
        <v>2</v>
      </c>
      <c r="L243">
        <v>450000</v>
      </c>
      <c r="M243">
        <v>367500</v>
      </c>
      <c r="N243">
        <v>0</v>
      </c>
      <c r="O243" t="s">
        <v>47</v>
      </c>
      <c r="P243" t="s">
        <v>48</v>
      </c>
    </row>
    <row r="244" spans="1:16" x14ac:dyDescent="0.25">
      <c r="A244" t="s">
        <v>512</v>
      </c>
      <c r="B244" t="s">
        <v>181</v>
      </c>
      <c r="C244" t="s">
        <v>30</v>
      </c>
      <c r="D244" t="s">
        <v>136</v>
      </c>
      <c r="E244" t="s">
        <v>137</v>
      </c>
      <c r="F244" t="s">
        <v>122</v>
      </c>
      <c r="G244" t="s">
        <v>33</v>
      </c>
      <c r="H244" t="s">
        <v>23</v>
      </c>
      <c r="I244" t="s">
        <v>45</v>
      </c>
      <c r="J244" t="s">
        <v>46</v>
      </c>
      <c r="K244">
        <v>2</v>
      </c>
      <c r="L244">
        <v>18500</v>
      </c>
      <c r="M244">
        <v>14500</v>
      </c>
      <c r="N244">
        <v>0.05</v>
      </c>
      <c r="O244" t="s">
        <v>64</v>
      </c>
      <c r="P244" t="s">
        <v>48</v>
      </c>
    </row>
    <row r="245" spans="1:16" x14ac:dyDescent="0.25">
      <c r="A245" t="s">
        <v>513</v>
      </c>
      <c r="B245" t="s">
        <v>514</v>
      </c>
      <c r="C245" t="s">
        <v>18</v>
      </c>
      <c r="D245" t="s">
        <v>83</v>
      </c>
      <c r="E245" t="s">
        <v>84</v>
      </c>
      <c r="F245" t="s">
        <v>85</v>
      </c>
      <c r="G245" t="s">
        <v>44</v>
      </c>
      <c r="H245" t="s">
        <v>23</v>
      </c>
      <c r="I245" t="s">
        <v>105</v>
      </c>
      <c r="J245" t="s">
        <v>71</v>
      </c>
      <c r="K245">
        <v>2</v>
      </c>
      <c r="L245">
        <v>192500</v>
      </c>
      <c r="M245">
        <v>126000</v>
      </c>
      <c r="N245">
        <v>0</v>
      </c>
      <c r="O245" t="s">
        <v>148</v>
      </c>
      <c r="P245" t="s">
        <v>133</v>
      </c>
    </row>
    <row r="246" spans="1:16" x14ac:dyDescent="0.25">
      <c r="A246" t="s">
        <v>515</v>
      </c>
      <c r="B246" t="s">
        <v>516</v>
      </c>
      <c r="C246" t="s">
        <v>40</v>
      </c>
      <c r="D246" t="s">
        <v>110</v>
      </c>
      <c r="E246" t="s">
        <v>111</v>
      </c>
      <c r="F246" t="s">
        <v>85</v>
      </c>
      <c r="G246" t="s">
        <v>33</v>
      </c>
      <c r="H246" t="s">
        <v>34</v>
      </c>
      <c r="I246" t="s">
        <v>102</v>
      </c>
      <c r="J246" t="s">
        <v>25</v>
      </c>
      <c r="K246">
        <v>12</v>
      </c>
      <c r="L246">
        <v>39900</v>
      </c>
      <c r="M246">
        <v>27300</v>
      </c>
      <c r="N246">
        <v>0</v>
      </c>
      <c r="O246" t="s">
        <v>57</v>
      </c>
      <c r="P246" t="s">
        <v>48</v>
      </c>
    </row>
    <row r="247" spans="1:16" x14ac:dyDescent="0.25">
      <c r="A247" t="s">
        <v>517</v>
      </c>
      <c r="B247" t="s">
        <v>518</v>
      </c>
      <c r="C247" t="s">
        <v>30</v>
      </c>
      <c r="D247" t="s">
        <v>41</v>
      </c>
      <c r="E247" t="s">
        <v>42</v>
      </c>
      <c r="F247" t="s">
        <v>43</v>
      </c>
      <c r="G247" t="s">
        <v>33</v>
      </c>
      <c r="H247" t="s">
        <v>23</v>
      </c>
      <c r="I247" t="s">
        <v>113</v>
      </c>
      <c r="J247" t="s">
        <v>36</v>
      </c>
      <c r="K247">
        <v>5</v>
      </c>
      <c r="L247">
        <v>168000</v>
      </c>
      <c r="M247">
        <v>120750</v>
      </c>
      <c r="N247">
        <v>0.05</v>
      </c>
      <c r="O247" t="s">
        <v>26</v>
      </c>
      <c r="P247" t="s">
        <v>72</v>
      </c>
    </row>
    <row r="248" spans="1:16" x14ac:dyDescent="0.25">
      <c r="A248" t="s">
        <v>519</v>
      </c>
      <c r="B248" t="s">
        <v>150</v>
      </c>
      <c r="C248" t="s">
        <v>30</v>
      </c>
      <c r="D248" t="s">
        <v>78</v>
      </c>
      <c r="E248" t="s">
        <v>79</v>
      </c>
      <c r="F248" t="s">
        <v>80</v>
      </c>
      <c r="G248" t="s">
        <v>22</v>
      </c>
      <c r="H248" t="s">
        <v>96</v>
      </c>
      <c r="I248" t="s">
        <v>93</v>
      </c>
      <c r="J248" t="s">
        <v>46</v>
      </c>
      <c r="K248">
        <v>10</v>
      </c>
      <c r="L248">
        <v>104500</v>
      </c>
      <c r="M248">
        <v>86100</v>
      </c>
      <c r="N248">
        <v>0.1</v>
      </c>
      <c r="O248" t="s">
        <v>64</v>
      </c>
      <c r="P248" t="s">
        <v>48</v>
      </c>
    </row>
    <row r="249" spans="1:16" x14ac:dyDescent="0.25">
      <c r="A249" t="s">
        <v>520</v>
      </c>
      <c r="B249" t="s">
        <v>328</v>
      </c>
      <c r="C249" t="s">
        <v>30</v>
      </c>
      <c r="D249" t="s">
        <v>120</v>
      </c>
      <c r="E249" t="s">
        <v>121</v>
      </c>
      <c r="F249" t="s">
        <v>122</v>
      </c>
      <c r="G249" t="s">
        <v>33</v>
      </c>
      <c r="H249" t="s">
        <v>63</v>
      </c>
      <c r="I249" t="s">
        <v>24</v>
      </c>
      <c r="J249" t="s">
        <v>25</v>
      </c>
      <c r="K249">
        <v>2</v>
      </c>
      <c r="L249">
        <v>23100</v>
      </c>
      <c r="M249">
        <v>12350</v>
      </c>
      <c r="N249">
        <v>0.1</v>
      </c>
      <c r="O249" t="s">
        <v>26</v>
      </c>
      <c r="P249" t="s">
        <v>27</v>
      </c>
    </row>
    <row r="250" spans="1:16" x14ac:dyDescent="0.25">
      <c r="A250" t="s">
        <v>521</v>
      </c>
      <c r="B250" t="s">
        <v>92</v>
      </c>
      <c r="C250" t="s">
        <v>40</v>
      </c>
      <c r="D250" t="s">
        <v>31</v>
      </c>
      <c r="E250" t="s">
        <v>32</v>
      </c>
      <c r="F250" t="s">
        <v>21</v>
      </c>
      <c r="G250" t="s">
        <v>44</v>
      </c>
      <c r="H250" t="s">
        <v>63</v>
      </c>
      <c r="I250" t="s">
        <v>51</v>
      </c>
      <c r="J250" t="s">
        <v>36</v>
      </c>
      <c r="K250">
        <v>1</v>
      </c>
      <c r="L250">
        <v>266000</v>
      </c>
      <c r="M250">
        <v>210000</v>
      </c>
      <c r="N250">
        <v>0.05</v>
      </c>
      <c r="O250" t="s">
        <v>148</v>
      </c>
      <c r="P250" t="s">
        <v>72</v>
      </c>
    </row>
    <row r="251" spans="1:16" x14ac:dyDescent="0.25">
      <c r="A251" t="s">
        <v>522</v>
      </c>
      <c r="B251" t="s">
        <v>229</v>
      </c>
      <c r="C251" t="s">
        <v>40</v>
      </c>
      <c r="D251" t="s">
        <v>19</v>
      </c>
      <c r="E251" t="s">
        <v>20</v>
      </c>
      <c r="F251" t="s">
        <v>21</v>
      </c>
      <c r="G251" t="s">
        <v>62</v>
      </c>
      <c r="H251" t="s">
        <v>112</v>
      </c>
      <c r="I251" t="s">
        <v>97</v>
      </c>
      <c r="J251" t="s">
        <v>56</v>
      </c>
      <c r="K251">
        <v>2</v>
      </c>
      <c r="L251">
        <v>112500</v>
      </c>
      <c r="M251">
        <v>80750</v>
      </c>
      <c r="N251">
        <v>0.15</v>
      </c>
      <c r="O251" t="s">
        <v>64</v>
      </c>
      <c r="P251" t="s">
        <v>48</v>
      </c>
    </row>
    <row r="252" spans="1:16" x14ac:dyDescent="0.25">
      <c r="A252" t="s">
        <v>523</v>
      </c>
      <c r="B252" t="s">
        <v>524</v>
      </c>
      <c r="C252" t="s">
        <v>40</v>
      </c>
      <c r="D252" t="s">
        <v>110</v>
      </c>
      <c r="E252" t="s">
        <v>111</v>
      </c>
      <c r="F252" t="s">
        <v>85</v>
      </c>
      <c r="G252" t="s">
        <v>22</v>
      </c>
      <c r="H252" t="s">
        <v>63</v>
      </c>
      <c r="I252" t="s">
        <v>93</v>
      </c>
      <c r="J252" t="s">
        <v>46</v>
      </c>
      <c r="K252">
        <v>2</v>
      </c>
      <c r="L252">
        <v>85500</v>
      </c>
      <c r="M252">
        <v>86100</v>
      </c>
      <c r="N252">
        <v>0.15</v>
      </c>
      <c r="O252" t="s">
        <v>148</v>
      </c>
      <c r="P252" t="s">
        <v>72</v>
      </c>
    </row>
    <row r="253" spans="1:16" x14ac:dyDescent="0.25">
      <c r="A253" t="s">
        <v>525</v>
      </c>
      <c r="B253" t="s">
        <v>99</v>
      </c>
      <c r="C253" t="s">
        <v>18</v>
      </c>
      <c r="D253" t="s">
        <v>19</v>
      </c>
      <c r="E253" t="s">
        <v>20</v>
      </c>
      <c r="F253" t="s">
        <v>21</v>
      </c>
      <c r="G253" t="s">
        <v>44</v>
      </c>
      <c r="H253" t="s">
        <v>23</v>
      </c>
      <c r="I253" t="s">
        <v>102</v>
      </c>
      <c r="J253" t="s">
        <v>25</v>
      </c>
      <c r="K253">
        <v>1</v>
      </c>
      <c r="L253">
        <v>42000</v>
      </c>
      <c r="M253">
        <v>24700</v>
      </c>
      <c r="N253">
        <v>0.15</v>
      </c>
      <c r="O253" t="s">
        <v>90</v>
      </c>
      <c r="P253" t="s">
        <v>27</v>
      </c>
    </row>
    <row r="254" spans="1:16" x14ac:dyDescent="0.25">
      <c r="A254" t="s">
        <v>526</v>
      </c>
      <c r="B254" t="s">
        <v>241</v>
      </c>
      <c r="C254" t="s">
        <v>18</v>
      </c>
      <c r="D254" t="s">
        <v>78</v>
      </c>
      <c r="E254" t="s">
        <v>79</v>
      </c>
      <c r="F254" t="s">
        <v>80</v>
      </c>
      <c r="G254" t="s">
        <v>33</v>
      </c>
      <c r="H254" t="s">
        <v>112</v>
      </c>
      <c r="I254" t="s">
        <v>105</v>
      </c>
      <c r="J254" t="s">
        <v>71</v>
      </c>
      <c r="K254">
        <v>3</v>
      </c>
      <c r="L254">
        <v>175000</v>
      </c>
      <c r="M254">
        <v>120000</v>
      </c>
      <c r="N254">
        <v>0.05</v>
      </c>
      <c r="O254" t="s">
        <v>148</v>
      </c>
      <c r="P254" t="s">
        <v>48</v>
      </c>
    </row>
    <row r="255" spans="1:16" x14ac:dyDescent="0.25">
      <c r="A255" t="s">
        <v>527</v>
      </c>
      <c r="B255" t="s">
        <v>528</v>
      </c>
      <c r="C255" t="s">
        <v>18</v>
      </c>
      <c r="D255" t="s">
        <v>131</v>
      </c>
      <c r="E255" t="s">
        <v>132</v>
      </c>
      <c r="F255" t="s">
        <v>80</v>
      </c>
      <c r="G255" t="s">
        <v>44</v>
      </c>
      <c r="H255" t="s">
        <v>63</v>
      </c>
      <c r="I255" t="s">
        <v>102</v>
      </c>
      <c r="J255" t="s">
        <v>25</v>
      </c>
      <c r="K255">
        <v>10</v>
      </c>
      <c r="L255">
        <v>42000</v>
      </c>
      <c r="M255">
        <v>27300</v>
      </c>
      <c r="N255">
        <v>0.05</v>
      </c>
      <c r="O255" t="s">
        <v>52</v>
      </c>
      <c r="P255" t="s">
        <v>27</v>
      </c>
    </row>
    <row r="256" spans="1:16" x14ac:dyDescent="0.25">
      <c r="A256" t="s">
        <v>529</v>
      </c>
      <c r="B256" t="s">
        <v>67</v>
      </c>
      <c r="C256" t="s">
        <v>40</v>
      </c>
      <c r="D256" t="s">
        <v>19</v>
      </c>
      <c r="E256" t="s">
        <v>20</v>
      </c>
      <c r="F256" t="s">
        <v>21</v>
      </c>
      <c r="G256" t="s">
        <v>22</v>
      </c>
      <c r="H256" t="s">
        <v>63</v>
      </c>
      <c r="I256" t="s">
        <v>45</v>
      </c>
      <c r="J256" t="s">
        <v>46</v>
      </c>
      <c r="K256">
        <v>6</v>
      </c>
      <c r="L256">
        <v>18500</v>
      </c>
      <c r="M256">
        <v>14500</v>
      </c>
      <c r="N256">
        <v>0</v>
      </c>
      <c r="O256" t="s">
        <v>37</v>
      </c>
      <c r="P256" t="s">
        <v>48</v>
      </c>
    </row>
    <row r="257" spans="1:16" x14ac:dyDescent="0.25">
      <c r="A257" t="s">
        <v>530</v>
      </c>
      <c r="B257" t="s">
        <v>514</v>
      </c>
      <c r="C257" t="s">
        <v>40</v>
      </c>
      <c r="D257" t="s">
        <v>120</v>
      </c>
      <c r="E257" t="s">
        <v>121</v>
      </c>
      <c r="F257" t="s">
        <v>122</v>
      </c>
      <c r="G257" t="s">
        <v>33</v>
      </c>
      <c r="H257" t="s">
        <v>23</v>
      </c>
      <c r="I257" t="s">
        <v>93</v>
      </c>
      <c r="J257" t="s">
        <v>46</v>
      </c>
      <c r="K257">
        <v>2</v>
      </c>
      <c r="L257">
        <v>95000</v>
      </c>
      <c r="M257">
        <v>86100</v>
      </c>
      <c r="N257">
        <v>0.1</v>
      </c>
      <c r="O257" t="s">
        <v>90</v>
      </c>
      <c r="P257" t="s">
        <v>48</v>
      </c>
    </row>
    <row r="258" spans="1:16" x14ac:dyDescent="0.25">
      <c r="A258" t="s">
        <v>531</v>
      </c>
      <c r="B258" t="s">
        <v>532</v>
      </c>
      <c r="C258" t="s">
        <v>18</v>
      </c>
      <c r="D258" t="s">
        <v>136</v>
      </c>
      <c r="E258" t="s">
        <v>137</v>
      </c>
      <c r="F258" t="s">
        <v>122</v>
      </c>
      <c r="G258" t="s">
        <v>44</v>
      </c>
      <c r="H258" t="s">
        <v>63</v>
      </c>
      <c r="I258" t="s">
        <v>24</v>
      </c>
      <c r="J258" t="s">
        <v>25</v>
      </c>
      <c r="K258">
        <v>6</v>
      </c>
      <c r="L258">
        <v>22000</v>
      </c>
      <c r="M258">
        <v>12350</v>
      </c>
      <c r="N258">
        <v>0.15</v>
      </c>
      <c r="O258" t="s">
        <v>52</v>
      </c>
      <c r="P258" t="s">
        <v>48</v>
      </c>
    </row>
    <row r="259" spans="1:16" x14ac:dyDescent="0.25">
      <c r="A259" t="s">
        <v>533</v>
      </c>
      <c r="B259" t="s">
        <v>450</v>
      </c>
      <c r="C259" t="s">
        <v>30</v>
      </c>
      <c r="D259" t="s">
        <v>88</v>
      </c>
      <c r="E259" t="s">
        <v>89</v>
      </c>
      <c r="F259" t="s">
        <v>43</v>
      </c>
      <c r="G259" t="s">
        <v>33</v>
      </c>
      <c r="H259" t="s">
        <v>112</v>
      </c>
      <c r="I259" t="s">
        <v>75</v>
      </c>
      <c r="J259" t="s">
        <v>36</v>
      </c>
      <c r="K259">
        <v>5</v>
      </c>
      <c r="L259">
        <v>180000</v>
      </c>
      <c r="M259">
        <v>136500</v>
      </c>
      <c r="N259">
        <v>0.05</v>
      </c>
      <c r="O259" t="s">
        <v>90</v>
      </c>
      <c r="P259" t="s">
        <v>48</v>
      </c>
    </row>
    <row r="260" spans="1:16" x14ac:dyDescent="0.25">
      <c r="A260" t="s">
        <v>534</v>
      </c>
      <c r="B260" t="s">
        <v>257</v>
      </c>
      <c r="C260" t="s">
        <v>40</v>
      </c>
      <c r="D260" t="s">
        <v>120</v>
      </c>
      <c r="E260" t="s">
        <v>121</v>
      </c>
      <c r="F260" t="s">
        <v>122</v>
      </c>
      <c r="G260" t="s">
        <v>44</v>
      </c>
      <c r="H260" t="s">
        <v>34</v>
      </c>
      <c r="I260" t="s">
        <v>97</v>
      </c>
      <c r="J260" t="s">
        <v>56</v>
      </c>
      <c r="K260">
        <v>4</v>
      </c>
      <c r="L260">
        <v>131250</v>
      </c>
      <c r="M260">
        <v>85000</v>
      </c>
      <c r="N260">
        <v>0.1</v>
      </c>
      <c r="O260" t="s">
        <v>47</v>
      </c>
      <c r="P260" t="s">
        <v>72</v>
      </c>
    </row>
    <row r="261" spans="1:16" x14ac:dyDescent="0.25">
      <c r="A261" t="s">
        <v>535</v>
      </c>
      <c r="B261" t="s">
        <v>536</v>
      </c>
      <c r="C261" t="s">
        <v>40</v>
      </c>
      <c r="D261" t="s">
        <v>131</v>
      </c>
      <c r="E261" t="s">
        <v>132</v>
      </c>
      <c r="F261" t="s">
        <v>80</v>
      </c>
      <c r="G261" t="s">
        <v>33</v>
      </c>
      <c r="H261" t="s">
        <v>112</v>
      </c>
      <c r="I261" t="s">
        <v>97</v>
      </c>
      <c r="J261" t="s">
        <v>56</v>
      </c>
      <c r="K261">
        <v>1</v>
      </c>
      <c r="L261">
        <v>125000</v>
      </c>
      <c r="M261">
        <v>80750</v>
      </c>
      <c r="N261">
        <v>0.05</v>
      </c>
      <c r="O261" t="s">
        <v>37</v>
      </c>
      <c r="P261" t="s">
        <v>48</v>
      </c>
    </row>
    <row r="262" spans="1:16" x14ac:dyDescent="0.25">
      <c r="A262" t="s">
        <v>537</v>
      </c>
      <c r="B262" t="s">
        <v>538</v>
      </c>
      <c r="C262" t="s">
        <v>18</v>
      </c>
      <c r="D262" t="s">
        <v>136</v>
      </c>
      <c r="E262" t="s">
        <v>137</v>
      </c>
      <c r="F262" t="s">
        <v>122</v>
      </c>
      <c r="G262" t="s">
        <v>62</v>
      </c>
      <c r="H262" t="s">
        <v>96</v>
      </c>
      <c r="I262" t="s">
        <v>55</v>
      </c>
      <c r="J262" t="s">
        <v>56</v>
      </c>
      <c r="K262">
        <v>8</v>
      </c>
      <c r="L262">
        <v>48000</v>
      </c>
      <c r="M262">
        <v>30000</v>
      </c>
      <c r="N262">
        <v>0</v>
      </c>
      <c r="O262" t="s">
        <v>57</v>
      </c>
      <c r="P262" t="s">
        <v>48</v>
      </c>
    </row>
    <row r="263" spans="1:16" x14ac:dyDescent="0.25">
      <c r="A263" t="s">
        <v>539</v>
      </c>
      <c r="B263" t="s">
        <v>540</v>
      </c>
      <c r="C263" t="s">
        <v>30</v>
      </c>
      <c r="D263" t="s">
        <v>78</v>
      </c>
      <c r="E263" t="s">
        <v>79</v>
      </c>
      <c r="F263" t="s">
        <v>80</v>
      </c>
      <c r="G263" t="s">
        <v>22</v>
      </c>
      <c r="H263" t="s">
        <v>23</v>
      </c>
      <c r="I263" t="s">
        <v>113</v>
      </c>
      <c r="J263" t="s">
        <v>36</v>
      </c>
      <c r="K263">
        <v>2</v>
      </c>
      <c r="L263">
        <v>176000</v>
      </c>
      <c r="M263">
        <v>120750</v>
      </c>
      <c r="N263">
        <v>0.1</v>
      </c>
      <c r="O263" t="s">
        <v>52</v>
      </c>
      <c r="P263" t="s">
        <v>133</v>
      </c>
    </row>
    <row r="264" spans="1:16" x14ac:dyDescent="0.25">
      <c r="A264" t="s">
        <v>541</v>
      </c>
      <c r="B264" t="s">
        <v>511</v>
      </c>
      <c r="C264" t="s">
        <v>18</v>
      </c>
      <c r="D264" t="s">
        <v>78</v>
      </c>
      <c r="E264" t="s">
        <v>79</v>
      </c>
      <c r="F264" t="s">
        <v>80</v>
      </c>
      <c r="G264" t="s">
        <v>33</v>
      </c>
      <c r="H264" t="s">
        <v>96</v>
      </c>
      <c r="I264" t="s">
        <v>70</v>
      </c>
      <c r="J264" t="s">
        <v>71</v>
      </c>
      <c r="K264">
        <v>8</v>
      </c>
      <c r="L264">
        <v>95000</v>
      </c>
      <c r="M264">
        <v>58900</v>
      </c>
      <c r="N264">
        <v>0.15</v>
      </c>
      <c r="O264" t="s">
        <v>64</v>
      </c>
      <c r="P264" t="s">
        <v>133</v>
      </c>
    </row>
    <row r="265" spans="1:16" x14ac:dyDescent="0.25">
      <c r="A265" t="s">
        <v>542</v>
      </c>
      <c r="B265" t="s">
        <v>223</v>
      </c>
      <c r="C265" t="s">
        <v>18</v>
      </c>
      <c r="D265" t="s">
        <v>31</v>
      </c>
      <c r="E265" t="s">
        <v>32</v>
      </c>
      <c r="F265" t="s">
        <v>21</v>
      </c>
      <c r="G265" t="s">
        <v>62</v>
      </c>
      <c r="H265" t="s">
        <v>23</v>
      </c>
      <c r="I265" t="s">
        <v>70</v>
      </c>
      <c r="J265" t="s">
        <v>71</v>
      </c>
      <c r="K265">
        <v>3</v>
      </c>
      <c r="L265">
        <v>95000</v>
      </c>
      <c r="M265">
        <v>58900</v>
      </c>
      <c r="N265">
        <v>0.05</v>
      </c>
      <c r="O265" t="s">
        <v>26</v>
      </c>
      <c r="P265" t="s">
        <v>48</v>
      </c>
    </row>
    <row r="266" spans="1:16" x14ac:dyDescent="0.25">
      <c r="A266" t="s">
        <v>543</v>
      </c>
      <c r="B266" t="s">
        <v>170</v>
      </c>
      <c r="C266" t="s">
        <v>30</v>
      </c>
      <c r="D266" t="s">
        <v>131</v>
      </c>
      <c r="E266" t="s">
        <v>132</v>
      </c>
      <c r="F266" t="s">
        <v>80</v>
      </c>
      <c r="G266" t="s">
        <v>62</v>
      </c>
      <c r="H266" t="s">
        <v>23</v>
      </c>
      <c r="I266" t="s">
        <v>75</v>
      </c>
      <c r="J266" t="s">
        <v>36</v>
      </c>
      <c r="K266">
        <v>1</v>
      </c>
      <c r="L266">
        <v>171000</v>
      </c>
      <c r="M266">
        <v>130000</v>
      </c>
      <c r="N266">
        <v>0</v>
      </c>
      <c r="O266" t="s">
        <v>90</v>
      </c>
      <c r="P266" t="s">
        <v>48</v>
      </c>
    </row>
    <row r="267" spans="1:16" x14ac:dyDescent="0.25">
      <c r="A267" t="s">
        <v>544</v>
      </c>
      <c r="B267" t="s">
        <v>545</v>
      </c>
      <c r="C267" t="s">
        <v>18</v>
      </c>
      <c r="D267" t="s">
        <v>136</v>
      </c>
      <c r="E267" t="s">
        <v>137</v>
      </c>
      <c r="F267" t="s">
        <v>122</v>
      </c>
      <c r="G267" t="s">
        <v>33</v>
      </c>
      <c r="H267" t="s">
        <v>96</v>
      </c>
      <c r="I267" t="s">
        <v>105</v>
      </c>
      <c r="J267" t="s">
        <v>71</v>
      </c>
      <c r="K267">
        <v>2</v>
      </c>
      <c r="L267">
        <v>175000</v>
      </c>
      <c r="M267">
        <v>120000</v>
      </c>
      <c r="N267">
        <v>0.1</v>
      </c>
      <c r="O267" t="s">
        <v>57</v>
      </c>
      <c r="P267" t="s">
        <v>48</v>
      </c>
    </row>
    <row r="268" spans="1:16" x14ac:dyDescent="0.25">
      <c r="A268" t="s">
        <v>546</v>
      </c>
      <c r="B268" t="s">
        <v>547</v>
      </c>
      <c r="C268" t="s">
        <v>18</v>
      </c>
      <c r="D268" t="s">
        <v>157</v>
      </c>
      <c r="E268" t="s">
        <v>158</v>
      </c>
      <c r="F268" t="s">
        <v>21</v>
      </c>
      <c r="G268" t="s">
        <v>33</v>
      </c>
      <c r="H268" t="s">
        <v>112</v>
      </c>
      <c r="I268" t="s">
        <v>24</v>
      </c>
      <c r="J268" t="s">
        <v>25</v>
      </c>
      <c r="K268">
        <v>5</v>
      </c>
      <c r="L268">
        <v>20900</v>
      </c>
      <c r="M268">
        <v>13000</v>
      </c>
      <c r="N268">
        <v>0</v>
      </c>
      <c r="O268" t="s">
        <v>90</v>
      </c>
      <c r="P268" t="s">
        <v>48</v>
      </c>
    </row>
    <row r="269" spans="1:16" x14ac:dyDescent="0.25">
      <c r="A269" t="s">
        <v>548</v>
      </c>
      <c r="B269" t="s">
        <v>226</v>
      </c>
      <c r="C269" t="s">
        <v>18</v>
      </c>
      <c r="D269" t="s">
        <v>120</v>
      </c>
      <c r="E269" t="s">
        <v>121</v>
      </c>
      <c r="F269" t="s">
        <v>122</v>
      </c>
      <c r="G269" t="s">
        <v>33</v>
      </c>
      <c r="H269" t="s">
        <v>23</v>
      </c>
      <c r="I269" t="s">
        <v>45</v>
      </c>
      <c r="J269" t="s">
        <v>46</v>
      </c>
      <c r="K269">
        <v>2</v>
      </c>
      <c r="L269">
        <v>18500</v>
      </c>
      <c r="M269">
        <v>15225</v>
      </c>
      <c r="N269">
        <v>0.05</v>
      </c>
      <c r="O269" t="s">
        <v>57</v>
      </c>
      <c r="P269" t="s">
        <v>27</v>
      </c>
    </row>
    <row r="270" spans="1:16" x14ac:dyDescent="0.25">
      <c r="A270" t="s">
        <v>549</v>
      </c>
      <c r="B270" t="s">
        <v>87</v>
      </c>
      <c r="C270" t="s">
        <v>18</v>
      </c>
      <c r="D270" t="s">
        <v>88</v>
      </c>
      <c r="E270" t="s">
        <v>89</v>
      </c>
      <c r="F270" t="s">
        <v>43</v>
      </c>
      <c r="G270" t="s">
        <v>33</v>
      </c>
      <c r="H270" t="s">
        <v>63</v>
      </c>
      <c r="I270" t="s">
        <v>102</v>
      </c>
      <c r="J270" t="s">
        <v>25</v>
      </c>
      <c r="K270">
        <v>3</v>
      </c>
      <c r="L270">
        <v>42000</v>
      </c>
      <c r="M270">
        <v>26000</v>
      </c>
      <c r="N270">
        <v>0.1</v>
      </c>
      <c r="O270" t="s">
        <v>52</v>
      </c>
      <c r="P270" t="s">
        <v>27</v>
      </c>
    </row>
    <row r="271" spans="1:16" x14ac:dyDescent="0.25">
      <c r="A271" t="s">
        <v>550</v>
      </c>
      <c r="B271" t="s">
        <v>501</v>
      </c>
      <c r="C271" t="s">
        <v>40</v>
      </c>
      <c r="D271" t="s">
        <v>83</v>
      </c>
      <c r="E271" t="s">
        <v>84</v>
      </c>
      <c r="F271" t="s">
        <v>85</v>
      </c>
      <c r="G271" t="s">
        <v>62</v>
      </c>
      <c r="H271" t="s">
        <v>23</v>
      </c>
      <c r="I271" t="s">
        <v>93</v>
      </c>
      <c r="J271" t="s">
        <v>46</v>
      </c>
      <c r="K271">
        <v>2</v>
      </c>
      <c r="L271">
        <v>95000</v>
      </c>
      <c r="M271">
        <v>82000</v>
      </c>
      <c r="N271">
        <v>0.05</v>
      </c>
      <c r="O271" t="s">
        <v>90</v>
      </c>
      <c r="P271" t="s">
        <v>48</v>
      </c>
    </row>
    <row r="272" spans="1:16" x14ac:dyDescent="0.25">
      <c r="A272" t="s">
        <v>551</v>
      </c>
      <c r="B272" t="s">
        <v>552</v>
      </c>
      <c r="C272" t="s">
        <v>40</v>
      </c>
      <c r="D272" t="s">
        <v>110</v>
      </c>
      <c r="E272" t="s">
        <v>111</v>
      </c>
      <c r="F272" t="s">
        <v>85</v>
      </c>
      <c r="G272" t="s">
        <v>22</v>
      </c>
      <c r="H272" t="s">
        <v>96</v>
      </c>
      <c r="I272" t="s">
        <v>45</v>
      </c>
      <c r="J272" t="s">
        <v>46</v>
      </c>
      <c r="K272">
        <v>6</v>
      </c>
      <c r="L272">
        <v>19425</v>
      </c>
      <c r="M272">
        <v>13775</v>
      </c>
      <c r="N272">
        <v>0</v>
      </c>
      <c r="O272" t="s">
        <v>90</v>
      </c>
      <c r="P272" t="s">
        <v>27</v>
      </c>
    </row>
    <row r="273" spans="1:16" x14ac:dyDescent="0.25">
      <c r="A273" t="s">
        <v>553</v>
      </c>
      <c r="B273" t="s">
        <v>554</v>
      </c>
      <c r="C273" t="s">
        <v>40</v>
      </c>
      <c r="D273" t="s">
        <v>110</v>
      </c>
      <c r="E273" t="s">
        <v>111</v>
      </c>
      <c r="F273" t="s">
        <v>85</v>
      </c>
      <c r="G273" t="s">
        <v>44</v>
      </c>
      <c r="H273" t="s">
        <v>63</v>
      </c>
      <c r="I273" t="s">
        <v>97</v>
      </c>
      <c r="J273" t="s">
        <v>56</v>
      </c>
      <c r="K273">
        <v>1</v>
      </c>
      <c r="L273">
        <v>125000</v>
      </c>
      <c r="M273">
        <v>85000</v>
      </c>
      <c r="N273">
        <v>0.15</v>
      </c>
      <c r="O273" t="s">
        <v>52</v>
      </c>
      <c r="P273" t="s">
        <v>27</v>
      </c>
    </row>
    <row r="274" spans="1:16" x14ac:dyDescent="0.25">
      <c r="A274" t="s">
        <v>555</v>
      </c>
      <c r="B274" t="s">
        <v>556</v>
      </c>
      <c r="C274" t="s">
        <v>40</v>
      </c>
      <c r="D274" t="s">
        <v>88</v>
      </c>
      <c r="E274" t="s">
        <v>89</v>
      </c>
      <c r="F274" t="s">
        <v>43</v>
      </c>
      <c r="G274" t="s">
        <v>44</v>
      </c>
      <c r="H274" t="s">
        <v>112</v>
      </c>
      <c r="I274" t="s">
        <v>24</v>
      </c>
      <c r="J274" t="s">
        <v>25</v>
      </c>
      <c r="K274">
        <v>2</v>
      </c>
      <c r="L274">
        <v>22000</v>
      </c>
      <c r="M274">
        <v>13000</v>
      </c>
      <c r="N274">
        <v>0</v>
      </c>
      <c r="O274" t="s">
        <v>52</v>
      </c>
      <c r="P274" t="s">
        <v>27</v>
      </c>
    </row>
    <row r="275" spans="1:16" x14ac:dyDescent="0.25">
      <c r="A275" t="s">
        <v>557</v>
      </c>
      <c r="B275" t="s">
        <v>292</v>
      </c>
      <c r="C275" t="s">
        <v>30</v>
      </c>
      <c r="D275" t="s">
        <v>19</v>
      </c>
      <c r="E275" t="s">
        <v>20</v>
      </c>
      <c r="F275" t="s">
        <v>21</v>
      </c>
      <c r="G275" t="s">
        <v>33</v>
      </c>
      <c r="H275" t="s">
        <v>96</v>
      </c>
      <c r="I275" t="s">
        <v>102</v>
      </c>
      <c r="J275" t="s">
        <v>25</v>
      </c>
      <c r="K275">
        <v>1</v>
      </c>
      <c r="L275">
        <v>42000</v>
      </c>
      <c r="M275">
        <v>24700</v>
      </c>
      <c r="N275">
        <v>0</v>
      </c>
      <c r="O275" t="s">
        <v>148</v>
      </c>
      <c r="P275" t="s">
        <v>48</v>
      </c>
    </row>
    <row r="276" spans="1:16" x14ac:dyDescent="0.25">
      <c r="A276" t="s">
        <v>558</v>
      </c>
      <c r="B276" t="s">
        <v>554</v>
      </c>
      <c r="C276" t="s">
        <v>18</v>
      </c>
      <c r="D276" t="s">
        <v>88</v>
      </c>
      <c r="E276" t="s">
        <v>89</v>
      </c>
      <c r="F276" t="s">
        <v>43</v>
      </c>
      <c r="G276" t="s">
        <v>44</v>
      </c>
      <c r="H276" t="s">
        <v>112</v>
      </c>
      <c r="I276" t="s">
        <v>102</v>
      </c>
      <c r="J276" t="s">
        <v>25</v>
      </c>
      <c r="K276">
        <v>6</v>
      </c>
      <c r="L276">
        <v>46200</v>
      </c>
      <c r="M276">
        <v>27300</v>
      </c>
      <c r="N276">
        <v>0.15</v>
      </c>
      <c r="O276" t="s">
        <v>52</v>
      </c>
      <c r="P276" t="s">
        <v>72</v>
      </c>
    </row>
    <row r="277" spans="1:16" x14ac:dyDescent="0.25">
      <c r="A277" t="s">
        <v>559</v>
      </c>
      <c r="B277" t="s">
        <v>250</v>
      </c>
      <c r="C277" t="s">
        <v>30</v>
      </c>
      <c r="D277" t="s">
        <v>19</v>
      </c>
      <c r="E277" t="s">
        <v>20</v>
      </c>
      <c r="F277" t="s">
        <v>21</v>
      </c>
      <c r="G277" t="s">
        <v>44</v>
      </c>
      <c r="H277" t="s">
        <v>96</v>
      </c>
      <c r="I277" t="s">
        <v>102</v>
      </c>
      <c r="J277" t="s">
        <v>25</v>
      </c>
      <c r="K277">
        <v>1</v>
      </c>
      <c r="L277">
        <v>42000</v>
      </c>
      <c r="M277">
        <v>26000</v>
      </c>
      <c r="N277">
        <v>0</v>
      </c>
      <c r="O277" t="s">
        <v>148</v>
      </c>
      <c r="P277" t="s">
        <v>48</v>
      </c>
    </row>
    <row r="278" spans="1:16" x14ac:dyDescent="0.25">
      <c r="A278" t="s">
        <v>560</v>
      </c>
      <c r="B278" t="s">
        <v>336</v>
      </c>
      <c r="C278" t="s">
        <v>30</v>
      </c>
      <c r="D278" t="s">
        <v>120</v>
      </c>
      <c r="E278" t="s">
        <v>121</v>
      </c>
      <c r="F278" t="s">
        <v>122</v>
      </c>
      <c r="G278" t="s">
        <v>33</v>
      </c>
      <c r="H278" t="s">
        <v>34</v>
      </c>
      <c r="I278" t="s">
        <v>45</v>
      </c>
      <c r="J278" t="s">
        <v>46</v>
      </c>
      <c r="K278">
        <v>1</v>
      </c>
      <c r="L278">
        <v>18500</v>
      </c>
      <c r="M278">
        <v>14500</v>
      </c>
      <c r="N278">
        <v>0.15</v>
      </c>
      <c r="O278" t="s">
        <v>52</v>
      </c>
      <c r="P278" t="s">
        <v>72</v>
      </c>
    </row>
    <row r="279" spans="1:16" x14ac:dyDescent="0.25">
      <c r="A279" t="s">
        <v>561</v>
      </c>
      <c r="B279" t="s">
        <v>322</v>
      </c>
      <c r="C279" t="s">
        <v>18</v>
      </c>
      <c r="D279" t="s">
        <v>157</v>
      </c>
      <c r="E279" t="s">
        <v>158</v>
      </c>
      <c r="F279" t="s">
        <v>21</v>
      </c>
      <c r="G279" t="s">
        <v>44</v>
      </c>
      <c r="H279" t="s">
        <v>63</v>
      </c>
      <c r="I279" t="s">
        <v>51</v>
      </c>
      <c r="J279" t="s">
        <v>36</v>
      </c>
      <c r="K279">
        <v>6</v>
      </c>
      <c r="L279">
        <v>280000</v>
      </c>
      <c r="M279">
        <v>220500</v>
      </c>
      <c r="N279">
        <v>0</v>
      </c>
      <c r="O279" t="s">
        <v>52</v>
      </c>
      <c r="P279" t="s">
        <v>48</v>
      </c>
    </row>
    <row r="280" spans="1:16" x14ac:dyDescent="0.25">
      <c r="A280" t="s">
        <v>562</v>
      </c>
      <c r="B280" t="s">
        <v>563</v>
      </c>
      <c r="C280" t="s">
        <v>40</v>
      </c>
      <c r="D280" t="s">
        <v>78</v>
      </c>
      <c r="E280" t="s">
        <v>79</v>
      </c>
      <c r="F280" t="s">
        <v>80</v>
      </c>
      <c r="G280" t="s">
        <v>44</v>
      </c>
      <c r="H280" t="s">
        <v>23</v>
      </c>
      <c r="I280" t="s">
        <v>113</v>
      </c>
      <c r="J280" t="s">
        <v>36</v>
      </c>
      <c r="K280">
        <v>4</v>
      </c>
      <c r="L280">
        <v>168000</v>
      </c>
      <c r="M280">
        <v>115000</v>
      </c>
      <c r="N280">
        <v>0.15</v>
      </c>
      <c r="O280" t="s">
        <v>64</v>
      </c>
      <c r="P280" t="s">
        <v>27</v>
      </c>
    </row>
    <row r="281" spans="1:16" x14ac:dyDescent="0.25">
      <c r="A281" t="s">
        <v>564</v>
      </c>
      <c r="B281" t="s">
        <v>565</v>
      </c>
      <c r="C281" t="s">
        <v>18</v>
      </c>
      <c r="D281" t="s">
        <v>83</v>
      </c>
      <c r="E281" t="s">
        <v>84</v>
      </c>
      <c r="F281" t="s">
        <v>85</v>
      </c>
      <c r="G281" t="s">
        <v>33</v>
      </c>
      <c r="H281" t="s">
        <v>23</v>
      </c>
      <c r="I281" t="s">
        <v>102</v>
      </c>
      <c r="J281" t="s">
        <v>25</v>
      </c>
      <c r="K281">
        <v>2</v>
      </c>
      <c r="L281">
        <v>37800</v>
      </c>
      <c r="M281">
        <v>26000</v>
      </c>
      <c r="N281">
        <v>0.05</v>
      </c>
      <c r="O281" t="s">
        <v>52</v>
      </c>
      <c r="P281" t="s">
        <v>48</v>
      </c>
    </row>
    <row r="282" spans="1:16" x14ac:dyDescent="0.25">
      <c r="A282" t="s">
        <v>566</v>
      </c>
      <c r="B282" t="s">
        <v>170</v>
      </c>
      <c r="C282" t="s">
        <v>40</v>
      </c>
      <c r="D282" t="s">
        <v>31</v>
      </c>
      <c r="E282" t="s">
        <v>32</v>
      </c>
      <c r="F282" t="s">
        <v>21</v>
      </c>
      <c r="G282" t="s">
        <v>44</v>
      </c>
      <c r="H282" t="s">
        <v>112</v>
      </c>
      <c r="I282" t="s">
        <v>93</v>
      </c>
      <c r="J282" t="s">
        <v>46</v>
      </c>
      <c r="K282">
        <v>15</v>
      </c>
      <c r="L282">
        <v>95000</v>
      </c>
      <c r="M282">
        <v>82000</v>
      </c>
      <c r="N282">
        <v>0.05</v>
      </c>
      <c r="O282" t="s">
        <v>52</v>
      </c>
      <c r="P282" t="s">
        <v>72</v>
      </c>
    </row>
    <row r="283" spans="1:16" x14ac:dyDescent="0.25">
      <c r="A283" t="s">
        <v>567</v>
      </c>
      <c r="B283" t="s">
        <v>568</v>
      </c>
      <c r="C283" t="s">
        <v>30</v>
      </c>
      <c r="D283" t="s">
        <v>131</v>
      </c>
      <c r="E283" t="s">
        <v>132</v>
      </c>
      <c r="F283" t="s">
        <v>80</v>
      </c>
      <c r="G283" t="s">
        <v>62</v>
      </c>
      <c r="H283" t="s">
        <v>23</v>
      </c>
      <c r="I283" t="s">
        <v>35</v>
      </c>
      <c r="J283" t="s">
        <v>36</v>
      </c>
      <c r="K283">
        <v>1</v>
      </c>
      <c r="L283">
        <v>450000</v>
      </c>
      <c r="M283">
        <v>350000</v>
      </c>
      <c r="N283">
        <v>0</v>
      </c>
      <c r="O283" t="s">
        <v>26</v>
      </c>
      <c r="P283" t="s">
        <v>72</v>
      </c>
    </row>
    <row r="284" spans="1:16" x14ac:dyDescent="0.25">
      <c r="A284" t="s">
        <v>569</v>
      </c>
      <c r="B284" t="s">
        <v>570</v>
      </c>
      <c r="C284" t="s">
        <v>18</v>
      </c>
      <c r="D284" t="s">
        <v>136</v>
      </c>
      <c r="E284" t="s">
        <v>137</v>
      </c>
      <c r="F284" t="s">
        <v>122</v>
      </c>
      <c r="G284" t="s">
        <v>44</v>
      </c>
      <c r="H284" t="s">
        <v>34</v>
      </c>
      <c r="I284" t="s">
        <v>55</v>
      </c>
      <c r="J284" t="s">
        <v>56</v>
      </c>
      <c r="K284">
        <v>3</v>
      </c>
      <c r="L284">
        <v>50400</v>
      </c>
      <c r="M284">
        <v>30000</v>
      </c>
      <c r="N284">
        <v>0</v>
      </c>
      <c r="O284" t="s">
        <v>47</v>
      </c>
      <c r="P284" t="s">
        <v>48</v>
      </c>
    </row>
    <row r="285" spans="1:16" x14ac:dyDescent="0.25">
      <c r="A285" t="s">
        <v>571</v>
      </c>
      <c r="B285" t="s">
        <v>572</v>
      </c>
      <c r="C285" t="s">
        <v>30</v>
      </c>
      <c r="D285" t="s">
        <v>131</v>
      </c>
      <c r="E285" t="s">
        <v>132</v>
      </c>
      <c r="F285" t="s">
        <v>80</v>
      </c>
      <c r="G285" t="s">
        <v>44</v>
      </c>
      <c r="H285" t="s">
        <v>96</v>
      </c>
      <c r="I285" t="s">
        <v>55</v>
      </c>
      <c r="J285" t="s">
        <v>56</v>
      </c>
      <c r="K285">
        <v>4</v>
      </c>
      <c r="L285">
        <v>52800</v>
      </c>
      <c r="M285">
        <v>28500</v>
      </c>
      <c r="N285">
        <v>0</v>
      </c>
      <c r="O285" t="s">
        <v>64</v>
      </c>
      <c r="P285" t="s">
        <v>72</v>
      </c>
    </row>
    <row r="286" spans="1:16" x14ac:dyDescent="0.25">
      <c r="A286" t="s">
        <v>573</v>
      </c>
      <c r="B286" t="s">
        <v>316</v>
      </c>
      <c r="C286" t="s">
        <v>30</v>
      </c>
      <c r="D286" t="s">
        <v>83</v>
      </c>
      <c r="E286" t="s">
        <v>84</v>
      </c>
      <c r="F286" t="s">
        <v>85</v>
      </c>
      <c r="G286" t="s">
        <v>44</v>
      </c>
      <c r="H286" t="s">
        <v>96</v>
      </c>
      <c r="I286" t="s">
        <v>51</v>
      </c>
      <c r="J286" t="s">
        <v>36</v>
      </c>
      <c r="K286">
        <v>1</v>
      </c>
      <c r="L286">
        <v>280000</v>
      </c>
      <c r="M286">
        <v>199500</v>
      </c>
      <c r="N286">
        <v>0</v>
      </c>
      <c r="O286" t="s">
        <v>148</v>
      </c>
      <c r="P286" t="s">
        <v>27</v>
      </c>
    </row>
    <row r="287" spans="1:16" x14ac:dyDescent="0.25">
      <c r="A287" t="s">
        <v>574</v>
      </c>
      <c r="B287" t="s">
        <v>575</v>
      </c>
      <c r="C287" t="s">
        <v>30</v>
      </c>
      <c r="D287" t="s">
        <v>157</v>
      </c>
      <c r="E287" t="s">
        <v>158</v>
      </c>
      <c r="F287" t="s">
        <v>21</v>
      </c>
      <c r="G287" t="s">
        <v>62</v>
      </c>
      <c r="H287" t="s">
        <v>34</v>
      </c>
      <c r="I287" t="s">
        <v>102</v>
      </c>
      <c r="J287" t="s">
        <v>25</v>
      </c>
      <c r="K287">
        <v>5</v>
      </c>
      <c r="L287">
        <v>39900</v>
      </c>
      <c r="M287">
        <v>27300</v>
      </c>
      <c r="N287">
        <v>0</v>
      </c>
      <c r="O287" t="s">
        <v>47</v>
      </c>
      <c r="P287" t="s">
        <v>133</v>
      </c>
    </row>
    <row r="288" spans="1:16" x14ac:dyDescent="0.25">
      <c r="A288" t="s">
        <v>576</v>
      </c>
      <c r="B288" t="s">
        <v>577</v>
      </c>
      <c r="C288" t="s">
        <v>40</v>
      </c>
      <c r="D288" t="s">
        <v>136</v>
      </c>
      <c r="E288" t="s">
        <v>137</v>
      </c>
      <c r="F288" t="s">
        <v>122</v>
      </c>
      <c r="G288" t="s">
        <v>22</v>
      </c>
      <c r="H288" t="s">
        <v>63</v>
      </c>
      <c r="I288" t="s">
        <v>75</v>
      </c>
      <c r="J288" t="s">
        <v>36</v>
      </c>
      <c r="K288">
        <v>6</v>
      </c>
      <c r="L288">
        <v>180000</v>
      </c>
      <c r="M288">
        <v>123500</v>
      </c>
      <c r="N288">
        <v>0</v>
      </c>
      <c r="O288" t="s">
        <v>52</v>
      </c>
      <c r="P288" t="s">
        <v>72</v>
      </c>
    </row>
    <row r="289" spans="1:16" x14ac:dyDescent="0.25">
      <c r="A289" t="s">
        <v>578</v>
      </c>
      <c r="B289" t="s">
        <v>257</v>
      </c>
      <c r="C289" t="s">
        <v>18</v>
      </c>
      <c r="D289" t="s">
        <v>110</v>
      </c>
      <c r="E289" t="s">
        <v>111</v>
      </c>
      <c r="F289" t="s">
        <v>85</v>
      </c>
      <c r="G289" t="s">
        <v>62</v>
      </c>
      <c r="H289" t="s">
        <v>96</v>
      </c>
      <c r="I289" t="s">
        <v>97</v>
      </c>
      <c r="J289" t="s">
        <v>56</v>
      </c>
      <c r="K289">
        <v>3</v>
      </c>
      <c r="L289">
        <v>112500</v>
      </c>
      <c r="M289">
        <v>89250</v>
      </c>
      <c r="N289">
        <v>0.1</v>
      </c>
      <c r="O289" t="s">
        <v>52</v>
      </c>
      <c r="P289" t="s">
        <v>48</v>
      </c>
    </row>
    <row r="290" spans="1:16" x14ac:dyDescent="0.25">
      <c r="A290" t="s">
        <v>579</v>
      </c>
      <c r="B290" t="s">
        <v>580</v>
      </c>
      <c r="C290" t="s">
        <v>40</v>
      </c>
      <c r="D290" t="s">
        <v>136</v>
      </c>
      <c r="E290" t="s">
        <v>137</v>
      </c>
      <c r="F290" t="s">
        <v>122</v>
      </c>
      <c r="G290" t="s">
        <v>33</v>
      </c>
      <c r="H290" t="s">
        <v>34</v>
      </c>
      <c r="I290" t="s">
        <v>113</v>
      </c>
      <c r="J290" t="s">
        <v>36</v>
      </c>
      <c r="K290">
        <v>3</v>
      </c>
      <c r="L290">
        <v>144000</v>
      </c>
      <c r="M290">
        <v>109250</v>
      </c>
      <c r="N290">
        <v>0</v>
      </c>
      <c r="O290" t="s">
        <v>90</v>
      </c>
      <c r="P290" t="s">
        <v>72</v>
      </c>
    </row>
    <row r="291" spans="1:16" x14ac:dyDescent="0.25">
      <c r="A291" t="s">
        <v>581</v>
      </c>
      <c r="B291" t="s">
        <v>248</v>
      </c>
      <c r="C291" t="s">
        <v>40</v>
      </c>
      <c r="D291" t="s">
        <v>78</v>
      </c>
      <c r="E291" t="s">
        <v>79</v>
      </c>
      <c r="F291" t="s">
        <v>80</v>
      </c>
      <c r="G291" t="s">
        <v>62</v>
      </c>
      <c r="H291" t="s">
        <v>63</v>
      </c>
      <c r="I291" t="s">
        <v>35</v>
      </c>
      <c r="J291" t="s">
        <v>36</v>
      </c>
      <c r="K291">
        <v>6</v>
      </c>
      <c r="L291">
        <v>472500</v>
      </c>
      <c r="M291">
        <v>367500</v>
      </c>
      <c r="N291">
        <v>0</v>
      </c>
      <c r="O291" t="s">
        <v>52</v>
      </c>
      <c r="P291" t="s">
        <v>48</v>
      </c>
    </row>
    <row r="292" spans="1:16" x14ac:dyDescent="0.25">
      <c r="A292" t="s">
        <v>582</v>
      </c>
      <c r="B292" t="s">
        <v>583</v>
      </c>
      <c r="C292" t="s">
        <v>18</v>
      </c>
      <c r="D292" t="s">
        <v>88</v>
      </c>
      <c r="E292" t="s">
        <v>89</v>
      </c>
      <c r="F292" t="s">
        <v>43</v>
      </c>
      <c r="G292" t="s">
        <v>33</v>
      </c>
      <c r="H292" t="s">
        <v>96</v>
      </c>
      <c r="I292" t="s">
        <v>45</v>
      </c>
      <c r="J292" t="s">
        <v>46</v>
      </c>
      <c r="K292">
        <v>1</v>
      </c>
      <c r="L292">
        <v>19425</v>
      </c>
      <c r="M292">
        <v>13775</v>
      </c>
      <c r="N292">
        <v>0</v>
      </c>
      <c r="O292" t="s">
        <v>37</v>
      </c>
      <c r="P292" t="s">
        <v>133</v>
      </c>
    </row>
    <row r="293" spans="1:16" x14ac:dyDescent="0.25">
      <c r="A293" t="s">
        <v>584</v>
      </c>
      <c r="B293" t="s">
        <v>585</v>
      </c>
      <c r="C293" t="s">
        <v>40</v>
      </c>
      <c r="D293" t="s">
        <v>41</v>
      </c>
      <c r="E293" t="s">
        <v>42</v>
      </c>
      <c r="F293" t="s">
        <v>43</v>
      </c>
      <c r="G293" t="s">
        <v>62</v>
      </c>
      <c r="H293" t="s">
        <v>23</v>
      </c>
      <c r="I293" t="s">
        <v>70</v>
      </c>
      <c r="J293" t="s">
        <v>71</v>
      </c>
      <c r="K293">
        <v>2</v>
      </c>
      <c r="L293">
        <v>95000</v>
      </c>
      <c r="M293">
        <v>65100</v>
      </c>
      <c r="N293">
        <v>0</v>
      </c>
      <c r="O293" t="s">
        <v>64</v>
      </c>
      <c r="P293" t="s">
        <v>48</v>
      </c>
    </row>
    <row r="294" spans="1:16" x14ac:dyDescent="0.25">
      <c r="A294" t="s">
        <v>586</v>
      </c>
      <c r="B294" t="s">
        <v>587</v>
      </c>
      <c r="C294" t="s">
        <v>18</v>
      </c>
      <c r="D294" t="s">
        <v>88</v>
      </c>
      <c r="E294" t="s">
        <v>89</v>
      </c>
      <c r="F294" t="s">
        <v>43</v>
      </c>
      <c r="G294" t="s">
        <v>22</v>
      </c>
      <c r="H294" t="s">
        <v>112</v>
      </c>
      <c r="I294" t="s">
        <v>97</v>
      </c>
      <c r="J294" t="s">
        <v>56</v>
      </c>
      <c r="K294">
        <v>4</v>
      </c>
      <c r="L294">
        <v>125000</v>
      </c>
      <c r="M294">
        <v>85000</v>
      </c>
      <c r="N294">
        <v>0.15</v>
      </c>
      <c r="O294" t="s">
        <v>148</v>
      </c>
      <c r="P294" t="s">
        <v>48</v>
      </c>
    </row>
    <row r="295" spans="1:16" x14ac:dyDescent="0.25">
      <c r="A295" t="s">
        <v>588</v>
      </c>
      <c r="B295" t="s">
        <v>589</v>
      </c>
      <c r="C295" t="s">
        <v>40</v>
      </c>
      <c r="D295" t="s">
        <v>78</v>
      </c>
      <c r="E295" t="s">
        <v>79</v>
      </c>
      <c r="F295" t="s">
        <v>80</v>
      </c>
      <c r="G295" t="s">
        <v>62</v>
      </c>
      <c r="H295" t="s">
        <v>96</v>
      </c>
      <c r="I295" t="s">
        <v>113</v>
      </c>
      <c r="J295" t="s">
        <v>36</v>
      </c>
      <c r="K295">
        <v>2</v>
      </c>
      <c r="L295">
        <v>176000</v>
      </c>
      <c r="M295">
        <v>109250</v>
      </c>
      <c r="N295">
        <v>0</v>
      </c>
      <c r="O295" t="s">
        <v>64</v>
      </c>
      <c r="P295" t="s">
        <v>27</v>
      </c>
    </row>
    <row r="296" spans="1:16" x14ac:dyDescent="0.25">
      <c r="A296" t="s">
        <v>590</v>
      </c>
      <c r="B296" t="s">
        <v>207</v>
      </c>
      <c r="C296" t="s">
        <v>18</v>
      </c>
      <c r="D296" t="s">
        <v>60</v>
      </c>
      <c r="E296" t="s">
        <v>61</v>
      </c>
      <c r="F296" t="s">
        <v>43</v>
      </c>
      <c r="G296" t="s">
        <v>44</v>
      </c>
      <c r="H296" t="s">
        <v>23</v>
      </c>
      <c r="I296" t="s">
        <v>93</v>
      </c>
      <c r="J296" t="s">
        <v>46</v>
      </c>
      <c r="K296">
        <v>3</v>
      </c>
      <c r="L296">
        <v>85500</v>
      </c>
      <c r="M296">
        <v>82000</v>
      </c>
      <c r="N296">
        <v>0.15</v>
      </c>
      <c r="O296" t="s">
        <v>26</v>
      </c>
      <c r="P296" t="s">
        <v>48</v>
      </c>
    </row>
    <row r="297" spans="1:16" x14ac:dyDescent="0.25">
      <c r="A297" t="s">
        <v>591</v>
      </c>
      <c r="B297" t="s">
        <v>300</v>
      </c>
      <c r="C297" t="s">
        <v>18</v>
      </c>
      <c r="D297" t="s">
        <v>88</v>
      </c>
      <c r="E297" t="s">
        <v>89</v>
      </c>
      <c r="F297" t="s">
        <v>43</v>
      </c>
      <c r="G297" t="s">
        <v>33</v>
      </c>
      <c r="H297" t="s">
        <v>96</v>
      </c>
      <c r="I297" t="s">
        <v>102</v>
      </c>
      <c r="J297" t="s">
        <v>25</v>
      </c>
      <c r="K297">
        <v>3</v>
      </c>
      <c r="L297">
        <v>44100</v>
      </c>
      <c r="M297">
        <v>24700</v>
      </c>
      <c r="N297">
        <v>0.1</v>
      </c>
      <c r="O297" t="s">
        <v>148</v>
      </c>
      <c r="P297" t="s">
        <v>133</v>
      </c>
    </row>
    <row r="298" spans="1:16" x14ac:dyDescent="0.25">
      <c r="A298" t="s">
        <v>592</v>
      </c>
      <c r="B298" t="s">
        <v>494</v>
      </c>
      <c r="C298" t="s">
        <v>30</v>
      </c>
      <c r="D298" t="s">
        <v>120</v>
      </c>
      <c r="E298" t="s">
        <v>121</v>
      </c>
      <c r="F298" t="s">
        <v>122</v>
      </c>
      <c r="G298" t="s">
        <v>62</v>
      </c>
      <c r="H298" t="s">
        <v>63</v>
      </c>
      <c r="I298" t="s">
        <v>55</v>
      </c>
      <c r="J298" t="s">
        <v>56</v>
      </c>
      <c r="K298">
        <v>12</v>
      </c>
      <c r="L298">
        <v>45600</v>
      </c>
      <c r="M298">
        <v>30000</v>
      </c>
      <c r="N298">
        <v>0</v>
      </c>
      <c r="O298" t="s">
        <v>37</v>
      </c>
      <c r="P298" t="s">
        <v>72</v>
      </c>
    </row>
    <row r="299" spans="1:16" x14ac:dyDescent="0.25">
      <c r="A299" t="s">
        <v>593</v>
      </c>
      <c r="B299" t="s">
        <v>594</v>
      </c>
      <c r="C299" t="s">
        <v>18</v>
      </c>
      <c r="D299" t="s">
        <v>60</v>
      </c>
      <c r="E299" t="s">
        <v>61</v>
      </c>
      <c r="F299" t="s">
        <v>43</v>
      </c>
      <c r="G299" t="s">
        <v>44</v>
      </c>
      <c r="H299" t="s">
        <v>112</v>
      </c>
      <c r="I299" t="s">
        <v>70</v>
      </c>
      <c r="J299" t="s">
        <v>71</v>
      </c>
      <c r="K299">
        <v>1</v>
      </c>
      <c r="L299">
        <v>90250</v>
      </c>
      <c r="M299">
        <v>62000</v>
      </c>
      <c r="N299">
        <v>0.1</v>
      </c>
      <c r="O299" t="s">
        <v>37</v>
      </c>
      <c r="P299" t="s">
        <v>48</v>
      </c>
    </row>
    <row r="300" spans="1:16" x14ac:dyDescent="0.25">
      <c r="A300" t="s">
        <v>595</v>
      </c>
      <c r="B300" t="s">
        <v>596</v>
      </c>
      <c r="C300" t="s">
        <v>40</v>
      </c>
      <c r="D300" t="s">
        <v>83</v>
      </c>
      <c r="E300" t="s">
        <v>84</v>
      </c>
      <c r="F300" t="s">
        <v>85</v>
      </c>
      <c r="G300" t="s">
        <v>22</v>
      </c>
      <c r="H300" t="s">
        <v>96</v>
      </c>
      <c r="I300" t="s">
        <v>105</v>
      </c>
      <c r="J300" t="s">
        <v>71</v>
      </c>
      <c r="K300">
        <v>1</v>
      </c>
      <c r="L300">
        <v>175000</v>
      </c>
      <c r="M300">
        <v>120000</v>
      </c>
      <c r="N300">
        <v>0.05</v>
      </c>
      <c r="O300" t="s">
        <v>90</v>
      </c>
      <c r="P300" t="s">
        <v>72</v>
      </c>
    </row>
    <row r="301" spans="1:16" x14ac:dyDescent="0.25">
      <c r="A301" t="s">
        <v>597</v>
      </c>
      <c r="B301" t="s">
        <v>271</v>
      </c>
      <c r="C301" t="s">
        <v>18</v>
      </c>
      <c r="D301" t="s">
        <v>41</v>
      </c>
      <c r="E301" t="s">
        <v>42</v>
      </c>
      <c r="F301" t="s">
        <v>43</v>
      </c>
      <c r="G301" t="s">
        <v>44</v>
      </c>
      <c r="H301" t="s">
        <v>63</v>
      </c>
      <c r="I301" t="s">
        <v>24</v>
      </c>
      <c r="J301" t="s">
        <v>25</v>
      </c>
      <c r="K301">
        <v>8</v>
      </c>
      <c r="L301">
        <v>23100</v>
      </c>
      <c r="M301">
        <v>12350</v>
      </c>
      <c r="N301">
        <v>0</v>
      </c>
      <c r="O301" t="s">
        <v>26</v>
      </c>
      <c r="P301" t="s">
        <v>48</v>
      </c>
    </row>
    <row r="302" spans="1:16" x14ac:dyDescent="0.25">
      <c r="A302" t="s">
        <v>598</v>
      </c>
      <c r="B302" t="s">
        <v>599</v>
      </c>
      <c r="C302" t="s">
        <v>30</v>
      </c>
      <c r="D302" t="s">
        <v>31</v>
      </c>
      <c r="E302" t="s">
        <v>32</v>
      </c>
      <c r="F302" t="s">
        <v>21</v>
      </c>
      <c r="G302" t="s">
        <v>44</v>
      </c>
      <c r="H302" t="s">
        <v>96</v>
      </c>
      <c r="I302" t="s">
        <v>93</v>
      </c>
      <c r="J302" t="s">
        <v>46</v>
      </c>
      <c r="K302">
        <v>5</v>
      </c>
      <c r="L302">
        <v>95000</v>
      </c>
      <c r="M302">
        <v>82000</v>
      </c>
      <c r="N302">
        <v>0</v>
      </c>
      <c r="O302" t="s">
        <v>37</v>
      </c>
      <c r="P302" t="s">
        <v>72</v>
      </c>
    </row>
    <row r="303" spans="1:16" x14ac:dyDescent="0.25">
      <c r="A303" t="s">
        <v>600</v>
      </c>
      <c r="B303" t="s">
        <v>29</v>
      </c>
      <c r="C303" t="s">
        <v>40</v>
      </c>
      <c r="D303" t="s">
        <v>157</v>
      </c>
      <c r="E303" t="s">
        <v>158</v>
      </c>
      <c r="F303" t="s">
        <v>21</v>
      </c>
      <c r="G303" t="s">
        <v>22</v>
      </c>
      <c r="H303" t="s">
        <v>23</v>
      </c>
      <c r="I303" t="s">
        <v>51</v>
      </c>
      <c r="J303" t="s">
        <v>36</v>
      </c>
      <c r="K303">
        <v>1</v>
      </c>
      <c r="L303">
        <v>252000</v>
      </c>
      <c r="M303">
        <v>210000</v>
      </c>
      <c r="N303">
        <v>0</v>
      </c>
      <c r="O303" t="s">
        <v>57</v>
      </c>
      <c r="P303" t="s">
        <v>72</v>
      </c>
    </row>
    <row r="304" spans="1:16" x14ac:dyDescent="0.25">
      <c r="A304" t="s">
        <v>601</v>
      </c>
      <c r="B304" t="s">
        <v>302</v>
      </c>
      <c r="C304" t="s">
        <v>18</v>
      </c>
      <c r="D304" t="s">
        <v>31</v>
      </c>
      <c r="E304" t="s">
        <v>32</v>
      </c>
      <c r="F304" t="s">
        <v>21</v>
      </c>
      <c r="G304" t="s">
        <v>22</v>
      </c>
      <c r="H304" t="s">
        <v>112</v>
      </c>
      <c r="I304" t="s">
        <v>51</v>
      </c>
      <c r="J304" t="s">
        <v>36</v>
      </c>
      <c r="K304">
        <v>15</v>
      </c>
      <c r="L304">
        <v>266000</v>
      </c>
      <c r="M304">
        <v>220500</v>
      </c>
      <c r="N304">
        <v>0</v>
      </c>
      <c r="O304" t="s">
        <v>148</v>
      </c>
      <c r="P304" t="s">
        <v>48</v>
      </c>
    </row>
    <row r="305" spans="1:16" x14ac:dyDescent="0.25">
      <c r="A305" t="s">
        <v>602</v>
      </c>
      <c r="B305" t="s">
        <v>603</v>
      </c>
      <c r="C305" t="s">
        <v>30</v>
      </c>
      <c r="D305" t="s">
        <v>131</v>
      </c>
      <c r="E305" t="s">
        <v>132</v>
      </c>
      <c r="F305" t="s">
        <v>80</v>
      </c>
      <c r="G305" t="s">
        <v>33</v>
      </c>
      <c r="H305" t="s">
        <v>34</v>
      </c>
      <c r="I305" t="s">
        <v>75</v>
      </c>
      <c r="J305" t="s">
        <v>36</v>
      </c>
      <c r="K305">
        <v>3</v>
      </c>
      <c r="L305">
        <v>189000</v>
      </c>
      <c r="M305">
        <v>136500</v>
      </c>
      <c r="N305">
        <v>0.05</v>
      </c>
      <c r="O305" t="s">
        <v>47</v>
      </c>
      <c r="P305" t="s">
        <v>72</v>
      </c>
    </row>
    <row r="306" spans="1:16" x14ac:dyDescent="0.25">
      <c r="A306" t="s">
        <v>604</v>
      </c>
      <c r="B306" t="s">
        <v>605</v>
      </c>
      <c r="C306" t="s">
        <v>30</v>
      </c>
      <c r="D306" t="s">
        <v>157</v>
      </c>
      <c r="E306" t="s">
        <v>158</v>
      </c>
      <c r="F306" t="s">
        <v>21</v>
      </c>
      <c r="G306" t="s">
        <v>44</v>
      </c>
      <c r="H306" t="s">
        <v>63</v>
      </c>
      <c r="I306" t="s">
        <v>113</v>
      </c>
      <c r="J306" t="s">
        <v>36</v>
      </c>
      <c r="K306">
        <v>2</v>
      </c>
      <c r="L306">
        <v>160000</v>
      </c>
      <c r="M306">
        <v>115000</v>
      </c>
      <c r="N306">
        <v>0</v>
      </c>
      <c r="O306" t="s">
        <v>37</v>
      </c>
      <c r="P306" t="s">
        <v>133</v>
      </c>
    </row>
    <row r="307" spans="1:16" x14ac:dyDescent="0.25">
      <c r="A307" t="s">
        <v>606</v>
      </c>
      <c r="B307" t="s">
        <v>417</v>
      </c>
      <c r="C307" t="s">
        <v>18</v>
      </c>
      <c r="D307" t="s">
        <v>78</v>
      </c>
      <c r="E307" t="s">
        <v>79</v>
      </c>
      <c r="F307" t="s">
        <v>80</v>
      </c>
      <c r="G307" t="s">
        <v>44</v>
      </c>
      <c r="H307" t="s">
        <v>23</v>
      </c>
      <c r="I307" t="s">
        <v>55</v>
      </c>
      <c r="J307" t="s">
        <v>56</v>
      </c>
      <c r="K307">
        <v>3</v>
      </c>
      <c r="L307">
        <v>43200</v>
      </c>
      <c r="M307">
        <v>30000</v>
      </c>
      <c r="N307">
        <v>0.05</v>
      </c>
      <c r="O307" t="s">
        <v>148</v>
      </c>
      <c r="P307" t="s">
        <v>607</v>
      </c>
    </row>
    <row r="308" spans="1:16" x14ac:dyDescent="0.25">
      <c r="A308" t="s">
        <v>608</v>
      </c>
      <c r="B308" t="s">
        <v>538</v>
      </c>
      <c r="C308" t="s">
        <v>40</v>
      </c>
      <c r="D308" t="s">
        <v>136</v>
      </c>
      <c r="E308" t="s">
        <v>137</v>
      </c>
      <c r="F308" t="s">
        <v>122</v>
      </c>
      <c r="G308" t="s">
        <v>33</v>
      </c>
      <c r="H308" t="s">
        <v>63</v>
      </c>
      <c r="I308" t="s">
        <v>55</v>
      </c>
      <c r="J308" t="s">
        <v>56</v>
      </c>
      <c r="K308">
        <v>2</v>
      </c>
      <c r="L308">
        <v>48000</v>
      </c>
      <c r="M308">
        <v>31500</v>
      </c>
      <c r="N308">
        <v>0</v>
      </c>
      <c r="O308" t="s">
        <v>90</v>
      </c>
      <c r="P308" t="s">
        <v>133</v>
      </c>
    </row>
    <row r="309" spans="1:16" x14ac:dyDescent="0.25">
      <c r="A309" t="s">
        <v>609</v>
      </c>
      <c r="B309" t="s">
        <v>458</v>
      </c>
      <c r="C309" t="s">
        <v>40</v>
      </c>
      <c r="D309" t="s">
        <v>88</v>
      </c>
      <c r="E309" t="s">
        <v>89</v>
      </c>
      <c r="F309" t="s">
        <v>43</v>
      </c>
      <c r="G309" t="s">
        <v>44</v>
      </c>
      <c r="H309" t="s">
        <v>34</v>
      </c>
      <c r="I309" t="s">
        <v>35</v>
      </c>
      <c r="J309" t="s">
        <v>36</v>
      </c>
      <c r="K309">
        <v>4</v>
      </c>
      <c r="L309">
        <v>405000</v>
      </c>
      <c r="M309">
        <v>350000</v>
      </c>
      <c r="N309">
        <v>0</v>
      </c>
      <c r="O309" t="s">
        <v>52</v>
      </c>
      <c r="P309" t="s">
        <v>133</v>
      </c>
    </row>
    <row r="310" spans="1:16" x14ac:dyDescent="0.25">
      <c r="A310" t="s">
        <v>610</v>
      </c>
      <c r="B310" t="s">
        <v>395</v>
      </c>
      <c r="C310" t="s">
        <v>40</v>
      </c>
      <c r="D310" t="s">
        <v>120</v>
      </c>
      <c r="E310" t="s">
        <v>121</v>
      </c>
      <c r="F310" t="s">
        <v>122</v>
      </c>
      <c r="G310" t="s">
        <v>44</v>
      </c>
      <c r="H310" t="s">
        <v>34</v>
      </c>
      <c r="I310" t="s">
        <v>113</v>
      </c>
      <c r="J310" t="s">
        <v>36</v>
      </c>
      <c r="K310">
        <v>2</v>
      </c>
      <c r="L310">
        <v>160000</v>
      </c>
      <c r="M310">
        <v>109250</v>
      </c>
      <c r="N310">
        <v>0</v>
      </c>
      <c r="O310" t="s">
        <v>64</v>
      </c>
      <c r="P310" t="s">
        <v>72</v>
      </c>
    </row>
    <row r="311" spans="1:16" x14ac:dyDescent="0.25">
      <c r="A311" t="s">
        <v>611</v>
      </c>
      <c r="B311" t="s">
        <v>612</v>
      </c>
      <c r="C311" t="s">
        <v>30</v>
      </c>
      <c r="D311" t="s">
        <v>88</v>
      </c>
      <c r="E311" t="s">
        <v>89</v>
      </c>
      <c r="F311" t="s">
        <v>43</v>
      </c>
      <c r="G311" t="s">
        <v>62</v>
      </c>
      <c r="H311" t="s">
        <v>23</v>
      </c>
      <c r="I311" t="s">
        <v>45</v>
      </c>
      <c r="J311" t="s">
        <v>46</v>
      </c>
      <c r="K311">
        <v>6</v>
      </c>
      <c r="L311">
        <v>19425</v>
      </c>
      <c r="M311">
        <v>14500</v>
      </c>
      <c r="N311">
        <v>0.1</v>
      </c>
      <c r="O311" t="s">
        <v>90</v>
      </c>
      <c r="P311" t="s">
        <v>27</v>
      </c>
    </row>
    <row r="312" spans="1:16" x14ac:dyDescent="0.25">
      <c r="A312" t="s">
        <v>613</v>
      </c>
      <c r="B312" t="s">
        <v>345</v>
      </c>
      <c r="C312" t="s">
        <v>40</v>
      </c>
      <c r="D312" t="s">
        <v>60</v>
      </c>
      <c r="E312" t="s">
        <v>61</v>
      </c>
      <c r="F312" t="s">
        <v>43</v>
      </c>
      <c r="G312" t="s">
        <v>22</v>
      </c>
      <c r="H312" t="s">
        <v>96</v>
      </c>
      <c r="I312" t="s">
        <v>45</v>
      </c>
      <c r="J312" t="s">
        <v>46</v>
      </c>
      <c r="K312">
        <v>8</v>
      </c>
      <c r="L312">
        <v>20350</v>
      </c>
      <c r="M312">
        <v>15225</v>
      </c>
      <c r="N312">
        <v>0.1</v>
      </c>
      <c r="O312" t="s">
        <v>148</v>
      </c>
      <c r="P312" t="s">
        <v>48</v>
      </c>
    </row>
    <row r="313" spans="1:16" x14ac:dyDescent="0.25">
      <c r="A313" t="s">
        <v>614</v>
      </c>
      <c r="B313" t="s">
        <v>615</v>
      </c>
      <c r="C313" t="s">
        <v>18</v>
      </c>
      <c r="D313" t="s">
        <v>131</v>
      </c>
      <c r="E313" t="s">
        <v>132</v>
      </c>
      <c r="F313" t="s">
        <v>80</v>
      </c>
      <c r="G313" t="s">
        <v>44</v>
      </c>
      <c r="H313" t="s">
        <v>63</v>
      </c>
      <c r="I313" t="s">
        <v>113</v>
      </c>
      <c r="J313" t="s">
        <v>36</v>
      </c>
      <c r="K313">
        <v>2</v>
      </c>
      <c r="L313">
        <v>160000</v>
      </c>
      <c r="M313">
        <v>120750</v>
      </c>
      <c r="N313">
        <v>0</v>
      </c>
      <c r="O313" t="s">
        <v>90</v>
      </c>
      <c r="P313" t="s">
        <v>133</v>
      </c>
    </row>
    <row r="314" spans="1:16" x14ac:dyDescent="0.25">
      <c r="A314" t="s">
        <v>616</v>
      </c>
      <c r="B314" t="s">
        <v>617</v>
      </c>
      <c r="C314" t="s">
        <v>18</v>
      </c>
      <c r="D314" t="s">
        <v>31</v>
      </c>
      <c r="E314" t="s">
        <v>32</v>
      </c>
      <c r="F314" t="s">
        <v>21</v>
      </c>
      <c r="G314" t="s">
        <v>62</v>
      </c>
      <c r="H314" t="s">
        <v>112</v>
      </c>
      <c r="I314" t="s">
        <v>105</v>
      </c>
      <c r="J314" t="s">
        <v>71</v>
      </c>
      <c r="K314">
        <v>1</v>
      </c>
      <c r="L314">
        <v>175000</v>
      </c>
      <c r="M314">
        <v>120000</v>
      </c>
      <c r="N314">
        <v>0</v>
      </c>
      <c r="O314" t="s">
        <v>52</v>
      </c>
      <c r="P314" t="s">
        <v>48</v>
      </c>
    </row>
    <row r="315" spans="1:16" x14ac:dyDescent="0.25">
      <c r="A315" t="s">
        <v>618</v>
      </c>
      <c r="B315" t="s">
        <v>619</v>
      </c>
      <c r="C315" t="s">
        <v>40</v>
      </c>
      <c r="D315" t="s">
        <v>41</v>
      </c>
      <c r="E315" t="s">
        <v>42</v>
      </c>
      <c r="F315" t="s">
        <v>43</v>
      </c>
      <c r="G315" t="s">
        <v>44</v>
      </c>
      <c r="H315" t="s">
        <v>23</v>
      </c>
      <c r="I315" t="s">
        <v>105</v>
      </c>
      <c r="J315" t="s">
        <v>71</v>
      </c>
      <c r="K315">
        <v>2</v>
      </c>
      <c r="L315">
        <v>166250</v>
      </c>
      <c r="M315">
        <v>126000</v>
      </c>
      <c r="N315">
        <v>0.15</v>
      </c>
      <c r="O315" t="s">
        <v>47</v>
      </c>
      <c r="P315" t="s">
        <v>27</v>
      </c>
    </row>
    <row r="316" spans="1:16" x14ac:dyDescent="0.25">
      <c r="A316" t="s">
        <v>620</v>
      </c>
      <c r="B316" t="s">
        <v>621</v>
      </c>
      <c r="C316" t="s">
        <v>18</v>
      </c>
      <c r="D316" t="s">
        <v>120</v>
      </c>
      <c r="E316" t="s">
        <v>121</v>
      </c>
      <c r="F316" t="s">
        <v>122</v>
      </c>
      <c r="G316" t="s">
        <v>44</v>
      </c>
      <c r="H316" t="s">
        <v>96</v>
      </c>
      <c r="I316" t="s">
        <v>113</v>
      </c>
      <c r="J316" t="s">
        <v>36</v>
      </c>
      <c r="K316">
        <v>4</v>
      </c>
      <c r="L316">
        <v>152000</v>
      </c>
      <c r="M316">
        <v>120750</v>
      </c>
      <c r="N316">
        <v>0</v>
      </c>
      <c r="O316" t="s">
        <v>26</v>
      </c>
      <c r="P316" t="s">
        <v>48</v>
      </c>
    </row>
    <row r="317" spans="1:16" x14ac:dyDescent="0.25">
      <c r="A317" t="s">
        <v>622</v>
      </c>
      <c r="B317" t="s">
        <v>538</v>
      </c>
      <c r="C317" t="s">
        <v>40</v>
      </c>
      <c r="D317" t="s">
        <v>31</v>
      </c>
      <c r="E317" t="s">
        <v>32</v>
      </c>
      <c r="F317" t="s">
        <v>21</v>
      </c>
      <c r="G317" t="s">
        <v>44</v>
      </c>
      <c r="H317" t="s">
        <v>63</v>
      </c>
      <c r="I317" t="s">
        <v>45</v>
      </c>
      <c r="J317" t="s">
        <v>46</v>
      </c>
      <c r="K317">
        <v>2</v>
      </c>
      <c r="L317">
        <v>18500</v>
      </c>
      <c r="M317">
        <v>14500</v>
      </c>
      <c r="N317">
        <v>0.15</v>
      </c>
      <c r="O317" t="s">
        <v>52</v>
      </c>
      <c r="P317" t="s">
        <v>48</v>
      </c>
    </row>
    <row r="318" spans="1:16" x14ac:dyDescent="0.25">
      <c r="A318" t="s">
        <v>623</v>
      </c>
      <c r="B318" t="s">
        <v>135</v>
      </c>
      <c r="C318" t="s">
        <v>30</v>
      </c>
      <c r="D318" t="s">
        <v>88</v>
      </c>
      <c r="E318" t="s">
        <v>89</v>
      </c>
      <c r="F318" t="s">
        <v>43</v>
      </c>
      <c r="G318" t="s">
        <v>62</v>
      </c>
      <c r="H318" t="s">
        <v>112</v>
      </c>
      <c r="I318" t="s">
        <v>113</v>
      </c>
      <c r="J318" t="s">
        <v>36</v>
      </c>
      <c r="K318">
        <v>15</v>
      </c>
      <c r="L318">
        <v>152000</v>
      </c>
      <c r="M318">
        <v>109250</v>
      </c>
      <c r="N318">
        <v>0.15</v>
      </c>
      <c r="O318" t="s">
        <v>148</v>
      </c>
      <c r="P318" t="s">
        <v>27</v>
      </c>
    </row>
    <row r="319" spans="1:16" x14ac:dyDescent="0.25">
      <c r="A319" t="s">
        <v>624</v>
      </c>
      <c r="B319" t="s">
        <v>594</v>
      </c>
      <c r="C319" t="s">
        <v>18</v>
      </c>
      <c r="D319" t="s">
        <v>60</v>
      </c>
      <c r="E319" t="s">
        <v>61</v>
      </c>
      <c r="F319" t="s">
        <v>43</v>
      </c>
      <c r="G319" t="s">
        <v>22</v>
      </c>
      <c r="H319" t="s">
        <v>112</v>
      </c>
      <c r="I319" t="s">
        <v>70</v>
      </c>
      <c r="J319" t="s">
        <v>71</v>
      </c>
      <c r="K319">
        <v>2</v>
      </c>
      <c r="L319">
        <v>85500</v>
      </c>
      <c r="M319">
        <v>62000</v>
      </c>
      <c r="N319">
        <v>0</v>
      </c>
      <c r="O319" t="s">
        <v>37</v>
      </c>
      <c r="P319" t="s">
        <v>27</v>
      </c>
    </row>
    <row r="320" spans="1:16" x14ac:dyDescent="0.25">
      <c r="A320" t="s">
        <v>625</v>
      </c>
      <c r="B320" t="s">
        <v>309</v>
      </c>
      <c r="C320" t="s">
        <v>40</v>
      </c>
      <c r="D320" t="s">
        <v>83</v>
      </c>
      <c r="E320" t="s">
        <v>84</v>
      </c>
      <c r="F320" t="s">
        <v>85</v>
      </c>
      <c r="G320" t="s">
        <v>22</v>
      </c>
      <c r="H320" t="s">
        <v>112</v>
      </c>
      <c r="I320" t="s">
        <v>102</v>
      </c>
      <c r="J320" t="s">
        <v>25</v>
      </c>
      <c r="K320">
        <v>12</v>
      </c>
      <c r="L320">
        <v>42000</v>
      </c>
      <c r="M320">
        <v>27300</v>
      </c>
      <c r="N320">
        <v>0.05</v>
      </c>
      <c r="O320" t="s">
        <v>64</v>
      </c>
      <c r="P320" t="s">
        <v>133</v>
      </c>
    </row>
    <row r="321" spans="1:16" x14ac:dyDescent="0.25">
      <c r="A321" t="s">
        <v>626</v>
      </c>
      <c r="B321" t="s">
        <v>627</v>
      </c>
      <c r="C321" t="s">
        <v>40</v>
      </c>
      <c r="D321" t="s">
        <v>110</v>
      </c>
      <c r="E321" t="s">
        <v>111</v>
      </c>
      <c r="F321" t="s">
        <v>85</v>
      </c>
      <c r="G321" t="s">
        <v>22</v>
      </c>
      <c r="H321" t="s">
        <v>96</v>
      </c>
      <c r="I321" t="s">
        <v>75</v>
      </c>
      <c r="J321" t="s">
        <v>36</v>
      </c>
      <c r="K321">
        <v>1</v>
      </c>
      <c r="L321">
        <v>198000</v>
      </c>
      <c r="M321">
        <v>123500</v>
      </c>
      <c r="N321">
        <v>0</v>
      </c>
      <c r="O321" t="s">
        <v>47</v>
      </c>
      <c r="P321" t="s">
        <v>48</v>
      </c>
    </row>
    <row r="322" spans="1:16" x14ac:dyDescent="0.25">
      <c r="A322" t="s">
        <v>628</v>
      </c>
      <c r="B322" t="s">
        <v>629</v>
      </c>
      <c r="C322" t="s">
        <v>40</v>
      </c>
      <c r="D322" t="s">
        <v>83</v>
      </c>
      <c r="E322" t="s">
        <v>84</v>
      </c>
      <c r="F322" t="s">
        <v>85</v>
      </c>
      <c r="G322" t="s">
        <v>22</v>
      </c>
      <c r="H322" t="s">
        <v>112</v>
      </c>
      <c r="I322" t="s">
        <v>75</v>
      </c>
      <c r="J322" t="s">
        <v>36</v>
      </c>
      <c r="K322">
        <v>1</v>
      </c>
      <c r="L322">
        <v>162000</v>
      </c>
      <c r="M322">
        <v>123500</v>
      </c>
      <c r="N322">
        <v>0</v>
      </c>
      <c r="O322" t="s">
        <v>90</v>
      </c>
      <c r="P322" t="s">
        <v>133</v>
      </c>
    </row>
    <row r="323" spans="1:16" x14ac:dyDescent="0.25">
      <c r="A323" t="s">
        <v>630</v>
      </c>
      <c r="B323" t="s">
        <v>631</v>
      </c>
      <c r="C323" t="s">
        <v>30</v>
      </c>
      <c r="D323" t="s">
        <v>83</v>
      </c>
      <c r="E323" t="s">
        <v>84</v>
      </c>
      <c r="F323" t="s">
        <v>85</v>
      </c>
      <c r="G323" t="s">
        <v>62</v>
      </c>
      <c r="H323" t="s">
        <v>63</v>
      </c>
      <c r="I323" t="s">
        <v>45</v>
      </c>
      <c r="J323" t="s">
        <v>46</v>
      </c>
      <c r="K323">
        <v>1</v>
      </c>
      <c r="L323">
        <v>16650</v>
      </c>
      <c r="M323">
        <v>14500</v>
      </c>
      <c r="N323">
        <v>0</v>
      </c>
      <c r="O323" t="s">
        <v>57</v>
      </c>
      <c r="P323" t="s">
        <v>72</v>
      </c>
    </row>
    <row r="324" spans="1:16" x14ac:dyDescent="0.25">
      <c r="A324" t="s">
        <v>632</v>
      </c>
      <c r="B324" t="s">
        <v>633</v>
      </c>
      <c r="C324" t="s">
        <v>18</v>
      </c>
      <c r="D324" t="s">
        <v>19</v>
      </c>
      <c r="E324" t="s">
        <v>20</v>
      </c>
      <c r="F324" t="s">
        <v>21</v>
      </c>
      <c r="G324" t="s">
        <v>33</v>
      </c>
      <c r="H324" t="s">
        <v>96</v>
      </c>
      <c r="I324" t="s">
        <v>113</v>
      </c>
      <c r="J324" t="s">
        <v>36</v>
      </c>
      <c r="K324">
        <v>1</v>
      </c>
      <c r="L324">
        <v>160000</v>
      </c>
      <c r="M324">
        <v>120750</v>
      </c>
      <c r="N324">
        <v>0</v>
      </c>
      <c r="O324" t="s">
        <v>57</v>
      </c>
      <c r="P324" t="s">
        <v>48</v>
      </c>
    </row>
    <row r="325" spans="1:16" x14ac:dyDescent="0.25">
      <c r="A325" t="s">
        <v>634</v>
      </c>
      <c r="B325" t="s">
        <v>635</v>
      </c>
      <c r="C325" t="s">
        <v>30</v>
      </c>
      <c r="D325" t="s">
        <v>120</v>
      </c>
      <c r="E325" t="s">
        <v>121</v>
      </c>
      <c r="F325" t="s">
        <v>122</v>
      </c>
      <c r="G325" t="s">
        <v>62</v>
      </c>
      <c r="H325" t="s">
        <v>96</v>
      </c>
      <c r="I325" t="s">
        <v>24</v>
      </c>
      <c r="J325" t="s">
        <v>25</v>
      </c>
      <c r="K325">
        <v>4</v>
      </c>
      <c r="L325">
        <v>20900</v>
      </c>
      <c r="M325">
        <v>12350</v>
      </c>
      <c r="N325">
        <v>0</v>
      </c>
      <c r="O325" t="s">
        <v>37</v>
      </c>
      <c r="P325" t="s">
        <v>48</v>
      </c>
    </row>
    <row r="326" spans="1:16" x14ac:dyDescent="0.25">
      <c r="A326" t="s">
        <v>636</v>
      </c>
      <c r="B326" t="s">
        <v>50</v>
      </c>
      <c r="C326" t="s">
        <v>30</v>
      </c>
      <c r="D326" t="s">
        <v>41</v>
      </c>
      <c r="E326" t="s">
        <v>42</v>
      </c>
      <c r="F326" t="s">
        <v>43</v>
      </c>
      <c r="G326" t="s">
        <v>33</v>
      </c>
      <c r="H326" t="s">
        <v>34</v>
      </c>
      <c r="I326" t="s">
        <v>51</v>
      </c>
      <c r="J326" t="s">
        <v>36</v>
      </c>
      <c r="K326">
        <v>6</v>
      </c>
      <c r="L326">
        <v>280000</v>
      </c>
      <c r="M326">
        <v>220500</v>
      </c>
      <c r="N326">
        <v>0.15</v>
      </c>
      <c r="O326" t="s">
        <v>47</v>
      </c>
      <c r="P326" t="s">
        <v>48</v>
      </c>
    </row>
    <row r="327" spans="1:16" x14ac:dyDescent="0.25">
      <c r="A327" t="s">
        <v>637</v>
      </c>
      <c r="B327" t="s">
        <v>638</v>
      </c>
      <c r="C327" t="s">
        <v>18</v>
      </c>
      <c r="D327" t="s">
        <v>88</v>
      </c>
      <c r="E327" t="s">
        <v>89</v>
      </c>
      <c r="F327" t="s">
        <v>43</v>
      </c>
      <c r="G327" t="s">
        <v>62</v>
      </c>
      <c r="H327" t="s">
        <v>23</v>
      </c>
      <c r="I327" t="s">
        <v>55</v>
      </c>
      <c r="J327" t="s">
        <v>56</v>
      </c>
      <c r="K327">
        <v>2</v>
      </c>
      <c r="L327">
        <v>43200</v>
      </c>
      <c r="M327">
        <v>30000</v>
      </c>
      <c r="N327">
        <v>0.05</v>
      </c>
      <c r="O327" t="s">
        <v>148</v>
      </c>
      <c r="P327" t="s">
        <v>48</v>
      </c>
    </row>
    <row r="328" spans="1:16" x14ac:dyDescent="0.25">
      <c r="A328" t="s">
        <v>639</v>
      </c>
      <c r="B328" t="s">
        <v>154</v>
      </c>
      <c r="C328" t="s">
        <v>18</v>
      </c>
      <c r="D328" t="s">
        <v>136</v>
      </c>
      <c r="E328" t="s">
        <v>137</v>
      </c>
      <c r="F328" t="s">
        <v>122</v>
      </c>
      <c r="G328" t="s">
        <v>22</v>
      </c>
      <c r="H328" t="s">
        <v>112</v>
      </c>
      <c r="I328" t="s">
        <v>75</v>
      </c>
      <c r="J328" t="s">
        <v>36</v>
      </c>
      <c r="K328">
        <v>5</v>
      </c>
      <c r="L328">
        <v>162000</v>
      </c>
      <c r="M328">
        <v>130000</v>
      </c>
      <c r="N328">
        <v>0.1</v>
      </c>
      <c r="O328" t="s">
        <v>26</v>
      </c>
      <c r="P328" t="s">
        <v>133</v>
      </c>
    </row>
    <row r="329" spans="1:16" x14ac:dyDescent="0.25">
      <c r="A329" t="s">
        <v>640</v>
      </c>
      <c r="B329" t="s">
        <v>471</v>
      </c>
      <c r="C329" t="s">
        <v>40</v>
      </c>
      <c r="D329" t="s">
        <v>120</v>
      </c>
      <c r="E329" t="s">
        <v>121</v>
      </c>
      <c r="F329" t="s">
        <v>122</v>
      </c>
      <c r="G329" t="s">
        <v>22</v>
      </c>
      <c r="H329" t="s">
        <v>23</v>
      </c>
      <c r="I329" t="s">
        <v>93</v>
      </c>
      <c r="J329" t="s">
        <v>46</v>
      </c>
      <c r="K329">
        <v>8</v>
      </c>
      <c r="L329">
        <v>95000</v>
      </c>
      <c r="M329">
        <v>82000</v>
      </c>
      <c r="N329">
        <v>0.05</v>
      </c>
      <c r="O329" t="s">
        <v>90</v>
      </c>
      <c r="P329" t="s">
        <v>48</v>
      </c>
    </row>
    <row r="330" spans="1:16" x14ac:dyDescent="0.25">
      <c r="A330" t="s">
        <v>641</v>
      </c>
      <c r="B330" t="s">
        <v>642</v>
      </c>
      <c r="C330" t="s">
        <v>40</v>
      </c>
      <c r="D330" t="s">
        <v>110</v>
      </c>
      <c r="E330" t="s">
        <v>111</v>
      </c>
      <c r="F330" t="s">
        <v>85</v>
      </c>
      <c r="G330" t="s">
        <v>22</v>
      </c>
      <c r="H330" t="s">
        <v>112</v>
      </c>
      <c r="I330" t="s">
        <v>51</v>
      </c>
      <c r="J330" t="s">
        <v>36</v>
      </c>
      <c r="K330">
        <v>1</v>
      </c>
      <c r="L330">
        <v>266000</v>
      </c>
      <c r="M330">
        <v>210000</v>
      </c>
      <c r="N330">
        <v>0</v>
      </c>
      <c r="O330" t="s">
        <v>64</v>
      </c>
      <c r="P330" t="s">
        <v>48</v>
      </c>
    </row>
    <row r="331" spans="1:16" x14ac:dyDescent="0.25">
      <c r="A331" t="s">
        <v>643</v>
      </c>
      <c r="B331" t="s">
        <v>128</v>
      </c>
      <c r="C331" t="s">
        <v>40</v>
      </c>
      <c r="D331" t="s">
        <v>157</v>
      </c>
      <c r="E331" t="s">
        <v>158</v>
      </c>
      <c r="F331" t="s">
        <v>21</v>
      </c>
      <c r="G331" t="s">
        <v>33</v>
      </c>
      <c r="H331" t="s">
        <v>23</v>
      </c>
      <c r="I331" t="s">
        <v>24</v>
      </c>
      <c r="J331" t="s">
        <v>25</v>
      </c>
      <c r="K331">
        <v>8</v>
      </c>
      <c r="L331">
        <v>22000</v>
      </c>
      <c r="M331">
        <v>13000</v>
      </c>
      <c r="N331">
        <v>0.15</v>
      </c>
      <c r="O331" t="s">
        <v>47</v>
      </c>
      <c r="P331" t="s">
        <v>48</v>
      </c>
    </row>
    <row r="332" spans="1:16" x14ac:dyDescent="0.25">
      <c r="A332" t="s">
        <v>644</v>
      </c>
      <c r="B332" t="s">
        <v>254</v>
      </c>
      <c r="C332" t="s">
        <v>30</v>
      </c>
      <c r="D332" t="s">
        <v>78</v>
      </c>
      <c r="E332" t="s">
        <v>79</v>
      </c>
      <c r="F332" t="s">
        <v>80</v>
      </c>
      <c r="G332" t="s">
        <v>33</v>
      </c>
      <c r="H332" t="s">
        <v>96</v>
      </c>
      <c r="I332" t="s">
        <v>70</v>
      </c>
      <c r="J332" t="s">
        <v>71</v>
      </c>
      <c r="K332">
        <v>3</v>
      </c>
      <c r="L332">
        <v>104500</v>
      </c>
      <c r="M332">
        <v>58900</v>
      </c>
      <c r="N332">
        <v>0.15</v>
      </c>
      <c r="O332" t="s">
        <v>26</v>
      </c>
      <c r="P332" t="s">
        <v>133</v>
      </c>
    </row>
    <row r="333" spans="1:16" x14ac:dyDescent="0.25">
      <c r="A333" t="s">
        <v>645</v>
      </c>
      <c r="B333" t="s">
        <v>646</v>
      </c>
      <c r="C333" t="s">
        <v>40</v>
      </c>
      <c r="D333" t="s">
        <v>157</v>
      </c>
      <c r="E333" t="s">
        <v>158</v>
      </c>
      <c r="F333" t="s">
        <v>21</v>
      </c>
      <c r="G333" t="s">
        <v>62</v>
      </c>
      <c r="H333" t="s">
        <v>112</v>
      </c>
      <c r="I333" t="s">
        <v>75</v>
      </c>
      <c r="J333" t="s">
        <v>36</v>
      </c>
      <c r="K333">
        <v>4</v>
      </c>
      <c r="L333">
        <v>180000</v>
      </c>
      <c r="M333">
        <v>123500</v>
      </c>
      <c r="N333">
        <v>0</v>
      </c>
      <c r="O333" t="s">
        <v>57</v>
      </c>
      <c r="P333" t="s">
        <v>48</v>
      </c>
    </row>
    <row r="334" spans="1:16" x14ac:dyDescent="0.25">
      <c r="A334" t="s">
        <v>647</v>
      </c>
      <c r="B334" t="s">
        <v>426</v>
      </c>
      <c r="C334" t="s">
        <v>40</v>
      </c>
      <c r="D334" t="s">
        <v>120</v>
      </c>
      <c r="E334" t="s">
        <v>121</v>
      </c>
      <c r="F334" t="s">
        <v>122</v>
      </c>
      <c r="G334" t="s">
        <v>44</v>
      </c>
      <c r="H334" t="s">
        <v>23</v>
      </c>
      <c r="I334" t="s">
        <v>55</v>
      </c>
      <c r="J334" t="s">
        <v>56</v>
      </c>
      <c r="K334">
        <v>3</v>
      </c>
      <c r="L334">
        <v>48000</v>
      </c>
      <c r="M334">
        <v>31500</v>
      </c>
      <c r="N334">
        <v>0</v>
      </c>
      <c r="O334" t="s">
        <v>26</v>
      </c>
      <c r="P334" t="s">
        <v>48</v>
      </c>
    </row>
    <row r="335" spans="1:16" x14ac:dyDescent="0.25">
      <c r="A335" t="s">
        <v>648</v>
      </c>
      <c r="B335" t="s">
        <v>649</v>
      </c>
      <c r="C335" t="s">
        <v>40</v>
      </c>
      <c r="D335" t="s">
        <v>83</v>
      </c>
      <c r="E335" t="s">
        <v>84</v>
      </c>
      <c r="F335" t="s">
        <v>85</v>
      </c>
      <c r="G335" t="s">
        <v>22</v>
      </c>
      <c r="H335" t="s">
        <v>63</v>
      </c>
      <c r="I335" t="s">
        <v>35</v>
      </c>
      <c r="J335" t="s">
        <v>36</v>
      </c>
      <c r="K335">
        <v>10</v>
      </c>
      <c r="L335">
        <v>450000</v>
      </c>
      <c r="M335">
        <v>350000</v>
      </c>
      <c r="N335">
        <v>0</v>
      </c>
      <c r="O335" t="s">
        <v>57</v>
      </c>
      <c r="P335" t="s">
        <v>48</v>
      </c>
    </row>
    <row r="336" spans="1:16" x14ac:dyDescent="0.25">
      <c r="A336" t="s">
        <v>650</v>
      </c>
      <c r="B336" t="s">
        <v>532</v>
      </c>
      <c r="C336" t="s">
        <v>30</v>
      </c>
      <c r="D336" t="s">
        <v>41</v>
      </c>
      <c r="E336" t="s">
        <v>42</v>
      </c>
      <c r="F336" t="s">
        <v>43</v>
      </c>
      <c r="G336" t="s">
        <v>33</v>
      </c>
      <c r="H336" t="s">
        <v>63</v>
      </c>
      <c r="I336" t="s">
        <v>70</v>
      </c>
      <c r="J336" t="s">
        <v>71</v>
      </c>
      <c r="K336">
        <v>8</v>
      </c>
      <c r="L336">
        <v>104500</v>
      </c>
      <c r="M336">
        <v>58900</v>
      </c>
      <c r="N336">
        <v>0</v>
      </c>
      <c r="O336" t="s">
        <v>57</v>
      </c>
      <c r="P336" t="s">
        <v>48</v>
      </c>
    </row>
    <row r="337" spans="1:16" x14ac:dyDescent="0.25">
      <c r="A337" t="s">
        <v>651</v>
      </c>
      <c r="B337" t="s">
        <v>652</v>
      </c>
      <c r="C337" t="s">
        <v>30</v>
      </c>
      <c r="D337" t="s">
        <v>83</v>
      </c>
      <c r="E337" t="s">
        <v>84</v>
      </c>
      <c r="F337" t="s">
        <v>85</v>
      </c>
      <c r="G337" t="s">
        <v>33</v>
      </c>
      <c r="H337" t="s">
        <v>23</v>
      </c>
      <c r="I337" t="s">
        <v>102</v>
      </c>
      <c r="J337" t="s">
        <v>25</v>
      </c>
      <c r="K337">
        <v>4</v>
      </c>
      <c r="L337">
        <v>37800</v>
      </c>
      <c r="M337">
        <v>26000</v>
      </c>
      <c r="N337">
        <v>0.05</v>
      </c>
      <c r="O337" t="s">
        <v>47</v>
      </c>
      <c r="P337" t="s">
        <v>72</v>
      </c>
    </row>
    <row r="338" spans="1:16" x14ac:dyDescent="0.25">
      <c r="A338" t="s">
        <v>653</v>
      </c>
      <c r="B338" t="s">
        <v>654</v>
      </c>
      <c r="C338" t="s">
        <v>18</v>
      </c>
      <c r="D338" t="s">
        <v>78</v>
      </c>
      <c r="E338" t="s">
        <v>79</v>
      </c>
      <c r="F338" t="s">
        <v>80</v>
      </c>
      <c r="G338" t="s">
        <v>22</v>
      </c>
      <c r="H338" t="s">
        <v>34</v>
      </c>
      <c r="I338" t="s">
        <v>35</v>
      </c>
      <c r="J338" t="s">
        <v>36</v>
      </c>
      <c r="K338">
        <v>6</v>
      </c>
      <c r="L338">
        <v>405000</v>
      </c>
      <c r="M338">
        <v>350000</v>
      </c>
      <c r="N338">
        <v>0.15</v>
      </c>
      <c r="O338" t="s">
        <v>64</v>
      </c>
      <c r="P338" t="s">
        <v>72</v>
      </c>
    </row>
    <row r="339" spans="1:16" x14ac:dyDescent="0.25">
      <c r="A339" t="s">
        <v>655</v>
      </c>
      <c r="B339" t="s">
        <v>141</v>
      </c>
      <c r="C339" t="s">
        <v>40</v>
      </c>
      <c r="D339" t="s">
        <v>31</v>
      </c>
      <c r="E339" t="s">
        <v>32</v>
      </c>
      <c r="F339" t="s">
        <v>21</v>
      </c>
      <c r="G339" t="s">
        <v>62</v>
      </c>
      <c r="H339" t="s">
        <v>112</v>
      </c>
      <c r="I339" t="s">
        <v>113</v>
      </c>
      <c r="J339" t="s">
        <v>36</v>
      </c>
      <c r="K339">
        <v>2</v>
      </c>
      <c r="L339">
        <v>160000</v>
      </c>
      <c r="M339">
        <v>109250</v>
      </c>
      <c r="N339">
        <v>0</v>
      </c>
      <c r="O339" t="s">
        <v>26</v>
      </c>
      <c r="P339" t="s">
        <v>48</v>
      </c>
    </row>
    <row r="340" spans="1:16" x14ac:dyDescent="0.25">
      <c r="A340" t="s">
        <v>656</v>
      </c>
      <c r="B340" t="s">
        <v>629</v>
      </c>
      <c r="C340" t="s">
        <v>18</v>
      </c>
      <c r="D340" t="s">
        <v>19</v>
      </c>
      <c r="E340" t="s">
        <v>20</v>
      </c>
      <c r="F340" t="s">
        <v>21</v>
      </c>
      <c r="G340" t="s">
        <v>33</v>
      </c>
      <c r="H340" t="s">
        <v>23</v>
      </c>
      <c r="I340" t="s">
        <v>24</v>
      </c>
      <c r="J340" t="s">
        <v>25</v>
      </c>
      <c r="K340">
        <v>5</v>
      </c>
      <c r="L340">
        <v>20900</v>
      </c>
      <c r="M340">
        <v>13000</v>
      </c>
      <c r="N340">
        <v>0.05</v>
      </c>
      <c r="O340" t="s">
        <v>47</v>
      </c>
      <c r="P340" t="s">
        <v>72</v>
      </c>
    </row>
    <row r="341" spans="1:16" x14ac:dyDescent="0.25">
      <c r="A341" t="s">
        <v>657</v>
      </c>
      <c r="B341" t="s">
        <v>612</v>
      </c>
      <c r="C341" t="s">
        <v>18</v>
      </c>
      <c r="D341" t="s">
        <v>157</v>
      </c>
      <c r="E341" t="s">
        <v>158</v>
      </c>
      <c r="F341" t="s">
        <v>21</v>
      </c>
      <c r="G341" t="s">
        <v>44</v>
      </c>
      <c r="H341" t="s">
        <v>23</v>
      </c>
      <c r="I341" t="s">
        <v>105</v>
      </c>
      <c r="J341" t="s">
        <v>71</v>
      </c>
      <c r="K341">
        <v>8</v>
      </c>
      <c r="L341">
        <v>175000</v>
      </c>
      <c r="M341">
        <v>114000</v>
      </c>
      <c r="N341">
        <v>0</v>
      </c>
      <c r="O341" t="s">
        <v>64</v>
      </c>
      <c r="P341" t="s">
        <v>72</v>
      </c>
    </row>
    <row r="342" spans="1:16" x14ac:dyDescent="0.25">
      <c r="A342" t="s">
        <v>658</v>
      </c>
      <c r="B342" t="s">
        <v>168</v>
      </c>
      <c r="C342" t="s">
        <v>18</v>
      </c>
      <c r="D342" t="s">
        <v>120</v>
      </c>
      <c r="E342" t="s">
        <v>121</v>
      </c>
      <c r="F342" t="s">
        <v>122</v>
      </c>
      <c r="G342" t="s">
        <v>22</v>
      </c>
      <c r="H342" t="s">
        <v>112</v>
      </c>
      <c r="I342" t="s">
        <v>113</v>
      </c>
      <c r="J342" t="s">
        <v>36</v>
      </c>
      <c r="K342">
        <v>2</v>
      </c>
      <c r="L342">
        <v>152000</v>
      </c>
      <c r="M342">
        <v>115000</v>
      </c>
      <c r="N342">
        <v>0.15</v>
      </c>
      <c r="O342" t="s">
        <v>90</v>
      </c>
      <c r="P342" t="s">
        <v>133</v>
      </c>
    </row>
    <row r="343" spans="1:16" x14ac:dyDescent="0.25">
      <c r="A343" t="s">
        <v>659</v>
      </c>
      <c r="B343" t="s">
        <v>361</v>
      </c>
      <c r="C343" t="s">
        <v>30</v>
      </c>
      <c r="D343" t="s">
        <v>157</v>
      </c>
      <c r="E343" t="s">
        <v>158</v>
      </c>
      <c r="F343" t="s">
        <v>21</v>
      </c>
      <c r="G343" t="s">
        <v>62</v>
      </c>
      <c r="H343" t="s">
        <v>112</v>
      </c>
      <c r="I343" t="s">
        <v>24</v>
      </c>
      <c r="J343" t="s">
        <v>25</v>
      </c>
      <c r="K343">
        <v>4</v>
      </c>
      <c r="L343">
        <v>19800</v>
      </c>
      <c r="M343">
        <v>13000</v>
      </c>
      <c r="N343">
        <v>0</v>
      </c>
      <c r="O343" t="s">
        <v>26</v>
      </c>
      <c r="P343" t="s">
        <v>48</v>
      </c>
    </row>
    <row r="344" spans="1:16" x14ac:dyDescent="0.25">
      <c r="A344" t="s">
        <v>660</v>
      </c>
      <c r="B344" t="s">
        <v>661</v>
      </c>
      <c r="C344" t="s">
        <v>40</v>
      </c>
      <c r="D344" t="s">
        <v>110</v>
      </c>
      <c r="E344" t="s">
        <v>111</v>
      </c>
      <c r="F344" t="s">
        <v>85</v>
      </c>
      <c r="G344" t="s">
        <v>22</v>
      </c>
      <c r="H344" t="s">
        <v>96</v>
      </c>
      <c r="I344" t="s">
        <v>105</v>
      </c>
      <c r="J344" t="s">
        <v>71</v>
      </c>
      <c r="K344">
        <v>2</v>
      </c>
      <c r="L344">
        <v>175000</v>
      </c>
      <c r="M344">
        <v>120000</v>
      </c>
      <c r="N344">
        <v>0.15</v>
      </c>
      <c r="O344" t="s">
        <v>47</v>
      </c>
      <c r="P344" t="s">
        <v>133</v>
      </c>
    </row>
    <row r="345" spans="1:16" x14ac:dyDescent="0.25">
      <c r="A345" t="s">
        <v>662</v>
      </c>
      <c r="B345" t="s">
        <v>594</v>
      </c>
      <c r="C345" t="s">
        <v>18</v>
      </c>
      <c r="D345" t="s">
        <v>120</v>
      </c>
      <c r="E345" t="s">
        <v>121</v>
      </c>
      <c r="F345" t="s">
        <v>122</v>
      </c>
      <c r="G345" t="s">
        <v>62</v>
      </c>
      <c r="H345" t="s">
        <v>63</v>
      </c>
      <c r="I345" t="s">
        <v>93</v>
      </c>
      <c r="J345" t="s">
        <v>46</v>
      </c>
      <c r="K345">
        <v>4</v>
      </c>
      <c r="L345">
        <v>95000</v>
      </c>
      <c r="M345">
        <v>82000</v>
      </c>
      <c r="N345">
        <v>0.15</v>
      </c>
      <c r="O345" t="s">
        <v>47</v>
      </c>
      <c r="P345" t="s">
        <v>72</v>
      </c>
    </row>
    <row r="346" spans="1:16" x14ac:dyDescent="0.25">
      <c r="A346" t="s">
        <v>663</v>
      </c>
      <c r="B346" t="s">
        <v>664</v>
      </c>
      <c r="C346" t="s">
        <v>18</v>
      </c>
      <c r="D346" t="s">
        <v>41</v>
      </c>
      <c r="E346" t="s">
        <v>42</v>
      </c>
      <c r="F346" t="s">
        <v>43</v>
      </c>
      <c r="G346" t="s">
        <v>22</v>
      </c>
      <c r="H346" t="s">
        <v>23</v>
      </c>
      <c r="I346" t="s">
        <v>70</v>
      </c>
      <c r="J346" t="s">
        <v>71</v>
      </c>
      <c r="K346">
        <v>5</v>
      </c>
      <c r="L346">
        <v>99750</v>
      </c>
      <c r="M346">
        <v>62000</v>
      </c>
      <c r="N346">
        <v>0</v>
      </c>
      <c r="O346" t="s">
        <v>26</v>
      </c>
      <c r="P346" t="s">
        <v>133</v>
      </c>
    </row>
    <row r="347" spans="1:16" x14ac:dyDescent="0.25">
      <c r="A347" t="s">
        <v>665</v>
      </c>
      <c r="B347" t="s">
        <v>376</v>
      </c>
      <c r="C347" t="s">
        <v>40</v>
      </c>
      <c r="D347" t="s">
        <v>88</v>
      </c>
      <c r="E347" t="s">
        <v>89</v>
      </c>
      <c r="F347" t="s">
        <v>43</v>
      </c>
      <c r="G347" t="s">
        <v>33</v>
      </c>
      <c r="H347" t="s">
        <v>112</v>
      </c>
      <c r="I347" t="s">
        <v>24</v>
      </c>
      <c r="J347" t="s">
        <v>25</v>
      </c>
      <c r="K347">
        <v>5</v>
      </c>
      <c r="L347">
        <v>23100</v>
      </c>
      <c r="M347">
        <v>12350</v>
      </c>
      <c r="N347">
        <v>0.15</v>
      </c>
      <c r="O347" t="s">
        <v>26</v>
      </c>
      <c r="P347" t="s">
        <v>48</v>
      </c>
    </row>
    <row r="348" spans="1:16" x14ac:dyDescent="0.25">
      <c r="A348" t="s">
        <v>666</v>
      </c>
      <c r="B348" t="s">
        <v>278</v>
      </c>
      <c r="C348" t="s">
        <v>30</v>
      </c>
      <c r="D348" t="s">
        <v>31</v>
      </c>
      <c r="E348" t="s">
        <v>32</v>
      </c>
      <c r="F348" t="s">
        <v>21</v>
      </c>
      <c r="G348" t="s">
        <v>33</v>
      </c>
      <c r="H348" t="s">
        <v>63</v>
      </c>
      <c r="I348" t="s">
        <v>102</v>
      </c>
      <c r="J348" t="s">
        <v>25</v>
      </c>
      <c r="K348">
        <v>4</v>
      </c>
      <c r="L348">
        <v>42000</v>
      </c>
      <c r="M348">
        <v>26000</v>
      </c>
      <c r="N348">
        <v>0</v>
      </c>
      <c r="O348" t="s">
        <v>57</v>
      </c>
      <c r="P348" t="s">
        <v>27</v>
      </c>
    </row>
    <row r="349" spans="1:16" x14ac:dyDescent="0.25">
      <c r="A349" t="s">
        <v>667</v>
      </c>
      <c r="B349" t="s">
        <v>458</v>
      </c>
      <c r="C349" t="s">
        <v>30</v>
      </c>
      <c r="D349" t="s">
        <v>120</v>
      </c>
      <c r="E349" t="s">
        <v>121</v>
      </c>
      <c r="F349" t="s">
        <v>122</v>
      </c>
      <c r="G349" t="s">
        <v>62</v>
      </c>
      <c r="H349" t="s">
        <v>23</v>
      </c>
      <c r="I349" t="s">
        <v>75</v>
      </c>
      <c r="J349" t="s">
        <v>36</v>
      </c>
      <c r="K349">
        <v>8</v>
      </c>
      <c r="L349">
        <v>171000</v>
      </c>
      <c r="M349">
        <v>130000</v>
      </c>
      <c r="N349">
        <v>0</v>
      </c>
      <c r="O349" t="s">
        <v>90</v>
      </c>
      <c r="P349" t="s">
        <v>48</v>
      </c>
    </row>
    <row r="350" spans="1:16" x14ac:dyDescent="0.25">
      <c r="A350" t="s">
        <v>668</v>
      </c>
      <c r="B350" t="s">
        <v>596</v>
      </c>
      <c r="C350" t="s">
        <v>40</v>
      </c>
      <c r="D350" t="s">
        <v>88</v>
      </c>
      <c r="E350" t="s">
        <v>89</v>
      </c>
      <c r="F350" t="s">
        <v>43</v>
      </c>
      <c r="G350" t="s">
        <v>62</v>
      </c>
      <c r="H350" t="s">
        <v>63</v>
      </c>
      <c r="I350" t="s">
        <v>24</v>
      </c>
      <c r="J350" t="s">
        <v>25</v>
      </c>
      <c r="K350">
        <v>5</v>
      </c>
      <c r="L350">
        <v>20900</v>
      </c>
      <c r="M350">
        <v>13000</v>
      </c>
      <c r="N350">
        <v>0</v>
      </c>
      <c r="O350" t="s">
        <v>57</v>
      </c>
      <c r="P350" t="s">
        <v>72</v>
      </c>
    </row>
    <row r="351" spans="1:16" x14ac:dyDescent="0.25">
      <c r="A351" t="s">
        <v>669</v>
      </c>
      <c r="B351" t="s">
        <v>670</v>
      </c>
      <c r="C351" t="s">
        <v>18</v>
      </c>
      <c r="D351" t="s">
        <v>19</v>
      </c>
      <c r="E351" t="s">
        <v>20</v>
      </c>
      <c r="F351" t="s">
        <v>21</v>
      </c>
      <c r="G351" t="s">
        <v>33</v>
      </c>
      <c r="H351" t="s">
        <v>23</v>
      </c>
      <c r="I351" t="s">
        <v>97</v>
      </c>
      <c r="J351" t="s">
        <v>56</v>
      </c>
      <c r="K351">
        <v>3</v>
      </c>
      <c r="L351">
        <v>137500</v>
      </c>
      <c r="M351">
        <v>80750</v>
      </c>
      <c r="N351">
        <v>0.05</v>
      </c>
      <c r="O351" t="s">
        <v>57</v>
      </c>
      <c r="P351" t="s">
        <v>133</v>
      </c>
    </row>
    <row r="352" spans="1:16" x14ac:dyDescent="0.25">
      <c r="A352" t="s">
        <v>671</v>
      </c>
      <c r="B352" t="s">
        <v>672</v>
      </c>
      <c r="C352" t="s">
        <v>30</v>
      </c>
      <c r="D352" t="s">
        <v>31</v>
      </c>
      <c r="E352" t="s">
        <v>32</v>
      </c>
      <c r="F352" t="s">
        <v>21</v>
      </c>
      <c r="G352" t="s">
        <v>33</v>
      </c>
      <c r="H352" t="s">
        <v>34</v>
      </c>
      <c r="I352" t="s">
        <v>55</v>
      </c>
      <c r="J352" t="s">
        <v>56</v>
      </c>
      <c r="K352">
        <v>8</v>
      </c>
      <c r="L352">
        <v>45600</v>
      </c>
      <c r="M352">
        <v>30000</v>
      </c>
      <c r="N352">
        <v>0</v>
      </c>
      <c r="O352" t="s">
        <v>47</v>
      </c>
      <c r="P352" t="s">
        <v>72</v>
      </c>
    </row>
    <row r="353" spans="1:16" x14ac:dyDescent="0.25">
      <c r="A353" t="s">
        <v>673</v>
      </c>
      <c r="B353" t="s">
        <v>674</v>
      </c>
      <c r="C353" t="s">
        <v>30</v>
      </c>
      <c r="D353" t="s">
        <v>157</v>
      </c>
      <c r="E353" t="s">
        <v>158</v>
      </c>
      <c r="F353" t="s">
        <v>21</v>
      </c>
      <c r="G353" t="s">
        <v>22</v>
      </c>
      <c r="H353" t="s">
        <v>96</v>
      </c>
      <c r="I353" t="s">
        <v>102</v>
      </c>
      <c r="J353" t="s">
        <v>25</v>
      </c>
      <c r="K353">
        <v>6</v>
      </c>
      <c r="L353">
        <v>42000</v>
      </c>
      <c r="M353">
        <v>26000</v>
      </c>
      <c r="N353">
        <v>0.15</v>
      </c>
      <c r="O353" t="s">
        <v>37</v>
      </c>
      <c r="P353" t="s">
        <v>48</v>
      </c>
    </row>
    <row r="354" spans="1:16" x14ac:dyDescent="0.25">
      <c r="A354" t="s">
        <v>675</v>
      </c>
      <c r="B354" t="s">
        <v>505</v>
      </c>
      <c r="C354" t="s">
        <v>30</v>
      </c>
      <c r="D354" t="s">
        <v>60</v>
      </c>
      <c r="E354" t="s">
        <v>61</v>
      </c>
      <c r="F354" t="s">
        <v>43</v>
      </c>
      <c r="G354" t="s">
        <v>33</v>
      </c>
      <c r="H354" t="s">
        <v>112</v>
      </c>
      <c r="I354" t="s">
        <v>70</v>
      </c>
      <c r="J354" t="s">
        <v>71</v>
      </c>
      <c r="K354">
        <v>6</v>
      </c>
      <c r="L354">
        <v>90250</v>
      </c>
      <c r="M354">
        <v>62000</v>
      </c>
      <c r="N354">
        <v>0.05</v>
      </c>
      <c r="O354" t="s">
        <v>26</v>
      </c>
      <c r="P354" t="s">
        <v>48</v>
      </c>
    </row>
    <row r="355" spans="1:16" x14ac:dyDescent="0.25">
      <c r="A355" t="s">
        <v>676</v>
      </c>
      <c r="B355" t="s">
        <v>92</v>
      </c>
      <c r="C355" t="s">
        <v>40</v>
      </c>
      <c r="D355" t="s">
        <v>110</v>
      </c>
      <c r="E355" t="s">
        <v>111</v>
      </c>
      <c r="F355" t="s">
        <v>85</v>
      </c>
      <c r="G355" t="s">
        <v>44</v>
      </c>
      <c r="H355" t="s">
        <v>96</v>
      </c>
      <c r="I355" t="s">
        <v>55</v>
      </c>
      <c r="J355" t="s">
        <v>56</v>
      </c>
      <c r="K355">
        <v>3</v>
      </c>
      <c r="L355">
        <v>43200</v>
      </c>
      <c r="M355">
        <v>30000</v>
      </c>
      <c r="N355">
        <v>0.15</v>
      </c>
      <c r="O355" t="s">
        <v>148</v>
      </c>
      <c r="P355" t="s">
        <v>48</v>
      </c>
    </row>
    <row r="356" spans="1:16" x14ac:dyDescent="0.25">
      <c r="A356" t="s">
        <v>677</v>
      </c>
      <c r="B356" t="s">
        <v>678</v>
      </c>
      <c r="C356" t="s">
        <v>40</v>
      </c>
      <c r="D356" t="s">
        <v>136</v>
      </c>
      <c r="E356" t="s">
        <v>137</v>
      </c>
      <c r="F356" t="s">
        <v>122</v>
      </c>
      <c r="G356" t="s">
        <v>62</v>
      </c>
      <c r="H356" t="s">
        <v>34</v>
      </c>
      <c r="I356" t="s">
        <v>24</v>
      </c>
      <c r="J356" t="s">
        <v>25</v>
      </c>
      <c r="K356">
        <v>2</v>
      </c>
      <c r="L356">
        <v>23100</v>
      </c>
      <c r="M356">
        <v>13000</v>
      </c>
      <c r="N356">
        <v>0</v>
      </c>
      <c r="O356" t="s">
        <v>52</v>
      </c>
      <c r="P356" t="s">
        <v>48</v>
      </c>
    </row>
    <row r="357" spans="1:16" x14ac:dyDescent="0.25">
      <c r="A357" t="s">
        <v>679</v>
      </c>
      <c r="B357" t="s">
        <v>680</v>
      </c>
      <c r="C357" t="s">
        <v>40</v>
      </c>
      <c r="D357" t="s">
        <v>41</v>
      </c>
      <c r="E357" t="s">
        <v>42</v>
      </c>
      <c r="F357" t="s">
        <v>43</v>
      </c>
      <c r="G357" t="s">
        <v>33</v>
      </c>
      <c r="H357" t="s">
        <v>63</v>
      </c>
      <c r="I357" t="s">
        <v>35</v>
      </c>
      <c r="J357" t="s">
        <v>36</v>
      </c>
      <c r="K357">
        <v>12</v>
      </c>
      <c r="L357">
        <v>450000</v>
      </c>
      <c r="M357">
        <v>350000</v>
      </c>
      <c r="N357">
        <v>0.05</v>
      </c>
      <c r="O357" t="s">
        <v>64</v>
      </c>
      <c r="P357" t="s">
        <v>48</v>
      </c>
    </row>
    <row r="358" spans="1:16" x14ac:dyDescent="0.25">
      <c r="A358" t="s">
        <v>681</v>
      </c>
      <c r="B358" t="s">
        <v>456</v>
      </c>
      <c r="C358" t="s">
        <v>30</v>
      </c>
      <c r="D358" t="s">
        <v>83</v>
      </c>
      <c r="E358" t="s">
        <v>84</v>
      </c>
      <c r="F358" t="s">
        <v>85</v>
      </c>
      <c r="G358" t="s">
        <v>44</v>
      </c>
      <c r="H358" t="s">
        <v>96</v>
      </c>
      <c r="I358" t="s">
        <v>75</v>
      </c>
      <c r="J358" t="s">
        <v>36</v>
      </c>
      <c r="K358">
        <v>1</v>
      </c>
      <c r="L358">
        <v>171000</v>
      </c>
      <c r="M358">
        <v>130000</v>
      </c>
      <c r="N358">
        <v>0</v>
      </c>
      <c r="O358" t="s">
        <v>47</v>
      </c>
      <c r="P358" t="s">
        <v>133</v>
      </c>
    </row>
    <row r="359" spans="1:16" x14ac:dyDescent="0.25">
      <c r="A359" t="s">
        <v>682</v>
      </c>
      <c r="B359" t="s">
        <v>254</v>
      </c>
      <c r="C359" t="s">
        <v>30</v>
      </c>
      <c r="D359" t="s">
        <v>120</v>
      </c>
      <c r="E359" t="s">
        <v>121</v>
      </c>
      <c r="F359" t="s">
        <v>122</v>
      </c>
      <c r="G359" t="s">
        <v>22</v>
      </c>
      <c r="H359" t="s">
        <v>96</v>
      </c>
      <c r="I359" t="s">
        <v>102</v>
      </c>
      <c r="J359" t="s">
        <v>25</v>
      </c>
      <c r="K359">
        <v>6</v>
      </c>
      <c r="L359">
        <v>42000</v>
      </c>
      <c r="M359">
        <v>26000</v>
      </c>
      <c r="N359">
        <v>0.1</v>
      </c>
      <c r="O359" t="s">
        <v>148</v>
      </c>
      <c r="P359" t="s">
        <v>48</v>
      </c>
    </row>
    <row r="360" spans="1:16" x14ac:dyDescent="0.25">
      <c r="A360" t="s">
        <v>683</v>
      </c>
      <c r="B360" t="s">
        <v>684</v>
      </c>
      <c r="C360" t="s">
        <v>40</v>
      </c>
      <c r="D360" t="s">
        <v>136</v>
      </c>
      <c r="E360" t="s">
        <v>137</v>
      </c>
      <c r="F360" t="s">
        <v>122</v>
      </c>
      <c r="G360" t="s">
        <v>44</v>
      </c>
      <c r="H360" t="s">
        <v>34</v>
      </c>
      <c r="I360" t="s">
        <v>35</v>
      </c>
      <c r="J360" t="s">
        <v>36</v>
      </c>
      <c r="K360">
        <v>1</v>
      </c>
      <c r="L360">
        <v>450000</v>
      </c>
      <c r="M360">
        <v>367500</v>
      </c>
      <c r="N360">
        <v>0</v>
      </c>
      <c r="O360" t="s">
        <v>148</v>
      </c>
      <c r="P360" t="s">
        <v>48</v>
      </c>
    </row>
    <row r="361" spans="1:16" x14ac:dyDescent="0.25">
      <c r="A361" t="s">
        <v>685</v>
      </c>
      <c r="B361" t="s">
        <v>686</v>
      </c>
      <c r="C361" t="s">
        <v>18</v>
      </c>
      <c r="D361" t="s">
        <v>83</v>
      </c>
      <c r="E361" t="s">
        <v>84</v>
      </c>
      <c r="F361" t="s">
        <v>85</v>
      </c>
      <c r="G361" t="s">
        <v>33</v>
      </c>
      <c r="H361" t="s">
        <v>96</v>
      </c>
      <c r="I361" t="s">
        <v>70</v>
      </c>
      <c r="J361" t="s">
        <v>71</v>
      </c>
      <c r="K361">
        <v>5</v>
      </c>
      <c r="L361">
        <v>99750</v>
      </c>
      <c r="M361">
        <v>62000</v>
      </c>
      <c r="N361">
        <v>0.1</v>
      </c>
      <c r="O361" t="s">
        <v>52</v>
      </c>
      <c r="P361" t="s">
        <v>27</v>
      </c>
    </row>
    <row r="362" spans="1:16" x14ac:dyDescent="0.25">
      <c r="A362" t="s">
        <v>687</v>
      </c>
      <c r="B362" t="s">
        <v>688</v>
      </c>
      <c r="C362" t="s">
        <v>30</v>
      </c>
      <c r="D362" t="s">
        <v>19</v>
      </c>
      <c r="E362" t="s">
        <v>20</v>
      </c>
      <c r="F362" t="s">
        <v>21</v>
      </c>
      <c r="G362" t="s">
        <v>44</v>
      </c>
      <c r="H362" t="s">
        <v>63</v>
      </c>
      <c r="I362" t="s">
        <v>70</v>
      </c>
      <c r="J362" t="s">
        <v>71</v>
      </c>
      <c r="K362">
        <v>6</v>
      </c>
      <c r="L362">
        <v>95000</v>
      </c>
      <c r="M362">
        <v>62000</v>
      </c>
      <c r="N362">
        <v>0.1</v>
      </c>
      <c r="O362" t="s">
        <v>26</v>
      </c>
      <c r="P362" t="s">
        <v>48</v>
      </c>
    </row>
    <row r="363" spans="1:16" x14ac:dyDescent="0.25">
      <c r="A363" t="s">
        <v>689</v>
      </c>
      <c r="B363" t="s">
        <v>273</v>
      </c>
      <c r="C363" t="s">
        <v>18</v>
      </c>
      <c r="D363" t="s">
        <v>157</v>
      </c>
      <c r="E363" t="s">
        <v>158</v>
      </c>
      <c r="F363" t="s">
        <v>21</v>
      </c>
      <c r="G363" t="s">
        <v>22</v>
      </c>
      <c r="H363" t="s">
        <v>96</v>
      </c>
      <c r="I363" t="s">
        <v>70</v>
      </c>
      <c r="J363" t="s">
        <v>71</v>
      </c>
      <c r="K363">
        <v>1</v>
      </c>
      <c r="L363">
        <v>95000</v>
      </c>
      <c r="M363">
        <v>62000</v>
      </c>
      <c r="N363">
        <v>0.15</v>
      </c>
      <c r="O363" t="s">
        <v>52</v>
      </c>
      <c r="P363" t="s">
        <v>48</v>
      </c>
    </row>
    <row r="364" spans="1:16" x14ac:dyDescent="0.25">
      <c r="A364" t="s">
        <v>690</v>
      </c>
      <c r="B364" t="s">
        <v>226</v>
      </c>
      <c r="C364" t="s">
        <v>30</v>
      </c>
      <c r="D364" t="s">
        <v>131</v>
      </c>
      <c r="E364" t="s">
        <v>132</v>
      </c>
      <c r="F364" t="s">
        <v>80</v>
      </c>
      <c r="G364" t="s">
        <v>22</v>
      </c>
      <c r="H364" t="s">
        <v>63</v>
      </c>
      <c r="I364" t="s">
        <v>51</v>
      </c>
      <c r="J364" t="s">
        <v>36</v>
      </c>
      <c r="K364">
        <v>5</v>
      </c>
      <c r="L364">
        <v>266000</v>
      </c>
      <c r="M364">
        <v>199500</v>
      </c>
      <c r="N364">
        <v>0.1</v>
      </c>
      <c r="O364" t="s">
        <v>64</v>
      </c>
      <c r="P364" t="s">
        <v>27</v>
      </c>
    </row>
    <row r="365" spans="1:16" x14ac:dyDescent="0.25">
      <c r="A365" t="s">
        <v>691</v>
      </c>
      <c r="B365" t="s">
        <v>692</v>
      </c>
      <c r="C365" t="s">
        <v>40</v>
      </c>
      <c r="D365" t="s">
        <v>41</v>
      </c>
      <c r="E365" t="s">
        <v>42</v>
      </c>
      <c r="F365" t="s">
        <v>43</v>
      </c>
      <c r="G365" t="s">
        <v>62</v>
      </c>
      <c r="H365" t="s">
        <v>112</v>
      </c>
      <c r="I365" t="s">
        <v>97</v>
      </c>
      <c r="J365" t="s">
        <v>56</v>
      </c>
      <c r="K365">
        <v>2</v>
      </c>
      <c r="L365">
        <v>112500</v>
      </c>
      <c r="M365">
        <v>80750</v>
      </c>
      <c r="N365">
        <v>0</v>
      </c>
      <c r="O365" t="s">
        <v>52</v>
      </c>
      <c r="P365" t="s">
        <v>48</v>
      </c>
    </row>
    <row r="366" spans="1:16" x14ac:dyDescent="0.25">
      <c r="A366" t="s">
        <v>693</v>
      </c>
      <c r="B366" t="s">
        <v>694</v>
      </c>
      <c r="C366" t="s">
        <v>30</v>
      </c>
      <c r="D366" t="s">
        <v>31</v>
      </c>
      <c r="E366" t="s">
        <v>32</v>
      </c>
      <c r="F366" t="s">
        <v>21</v>
      </c>
      <c r="G366" t="s">
        <v>62</v>
      </c>
      <c r="H366" t="s">
        <v>96</v>
      </c>
      <c r="I366" t="s">
        <v>51</v>
      </c>
      <c r="J366" t="s">
        <v>36</v>
      </c>
      <c r="K366">
        <v>1</v>
      </c>
      <c r="L366">
        <v>266000</v>
      </c>
      <c r="M366">
        <v>210000</v>
      </c>
      <c r="N366">
        <v>0</v>
      </c>
      <c r="O366" t="s">
        <v>47</v>
      </c>
      <c r="P366" t="s">
        <v>72</v>
      </c>
    </row>
    <row r="367" spans="1:16" x14ac:dyDescent="0.25">
      <c r="A367" t="s">
        <v>695</v>
      </c>
      <c r="B367" t="s">
        <v>565</v>
      </c>
      <c r="C367" t="s">
        <v>40</v>
      </c>
      <c r="D367" t="s">
        <v>157</v>
      </c>
      <c r="E367" t="s">
        <v>158</v>
      </c>
      <c r="F367" t="s">
        <v>21</v>
      </c>
      <c r="G367" t="s">
        <v>33</v>
      </c>
      <c r="H367" t="s">
        <v>34</v>
      </c>
      <c r="I367" t="s">
        <v>105</v>
      </c>
      <c r="J367" t="s">
        <v>71</v>
      </c>
      <c r="K367">
        <v>1</v>
      </c>
      <c r="L367">
        <v>175000</v>
      </c>
      <c r="M367">
        <v>126000</v>
      </c>
      <c r="N367">
        <v>0</v>
      </c>
      <c r="O367" t="s">
        <v>52</v>
      </c>
      <c r="P367" t="s">
        <v>27</v>
      </c>
    </row>
    <row r="368" spans="1:16" x14ac:dyDescent="0.25">
      <c r="A368" t="s">
        <v>696</v>
      </c>
      <c r="B368" t="s">
        <v>697</v>
      </c>
      <c r="C368" t="s">
        <v>40</v>
      </c>
      <c r="D368" t="s">
        <v>136</v>
      </c>
      <c r="E368" t="s">
        <v>137</v>
      </c>
      <c r="F368" t="s">
        <v>122</v>
      </c>
      <c r="G368" t="s">
        <v>33</v>
      </c>
      <c r="H368" t="s">
        <v>34</v>
      </c>
      <c r="I368" t="s">
        <v>75</v>
      </c>
      <c r="J368" t="s">
        <v>36</v>
      </c>
      <c r="K368">
        <v>5</v>
      </c>
      <c r="L368">
        <v>198000</v>
      </c>
      <c r="M368">
        <v>130000</v>
      </c>
      <c r="N368">
        <v>0</v>
      </c>
      <c r="O368" t="s">
        <v>26</v>
      </c>
      <c r="P368" t="s">
        <v>133</v>
      </c>
    </row>
    <row r="369" spans="1:16" x14ac:dyDescent="0.25">
      <c r="A369" t="s">
        <v>698</v>
      </c>
      <c r="B369" t="s">
        <v>619</v>
      </c>
      <c r="C369" t="s">
        <v>40</v>
      </c>
      <c r="D369" t="s">
        <v>131</v>
      </c>
      <c r="E369" t="s">
        <v>132</v>
      </c>
      <c r="F369" t="s">
        <v>80</v>
      </c>
      <c r="G369" t="s">
        <v>33</v>
      </c>
      <c r="H369" t="s">
        <v>96</v>
      </c>
      <c r="I369" t="s">
        <v>105</v>
      </c>
      <c r="J369" t="s">
        <v>71</v>
      </c>
      <c r="K369">
        <v>1</v>
      </c>
      <c r="L369">
        <v>183750</v>
      </c>
      <c r="M369">
        <v>120000</v>
      </c>
      <c r="N369">
        <v>0.05</v>
      </c>
      <c r="O369" t="s">
        <v>52</v>
      </c>
      <c r="P369" t="s">
        <v>48</v>
      </c>
    </row>
    <row r="370" spans="1:16" x14ac:dyDescent="0.25">
      <c r="A370" t="s">
        <v>699</v>
      </c>
      <c r="B370" t="s">
        <v>326</v>
      </c>
      <c r="C370" t="s">
        <v>30</v>
      </c>
      <c r="D370" t="s">
        <v>120</v>
      </c>
      <c r="E370" t="s">
        <v>121</v>
      </c>
      <c r="F370" t="s">
        <v>122</v>
      </c>
      <c r="G370" t="s">
        <v>22</v>
      </c>
      <c r="H370" t="s">
        <v>112</v>
      </c>
      <c r="I370" t="s">
        <v>70</v>
      </c>
      <c r="J370" t="s">
        <v>71</v>
      </c>
      <c r="K370">
        <v>2</v>
      </c>
      <c r="L370">
        <v>99750</v>
      </c>
      <c r="M370">
        <v>62000</v>
      </c>
      <c r="N370">
        <v>0.15</v>
      </c>
      <c r="O370" t="s">
        <v>64</v>
      </c>
      <c r="P370" t="s">
        <v>133</v>
      </c>
    </row>
    <row r="371" spans="1:16" x14ac:dyDescent="0.25">
      <c r="A371" t="s">
        <v>700</v>
      </c>
      <c r="B371" t="s">
        <v>701</v>
      </c>
      <c r="C371" t="s">
        <v>18</v>
      </c>
      <c r="D371" t="s">
        <v>88</v>
      </c>
      <c r="E371" t="s">
        <v>89</v>
      </c>
      <c r="F371" t="s">
        <v>43</v>
      </c>
      <c r="G371" t="s">
        <v>22</v>
      </c>
      <c r="H371" t="s">
        <v>34</v>
      </c>
      <c r="I371" t="s">
        <v>97</v>
      </c>
      <c r="J371" t="s">
        <v>56</v>
      </c>
      <c r="K371">
        <v>5</v>
      </c>
      <c r="L371">
        <v>131250</v>
      </c>
      <c r="M371">
        <v>89250</v>
      </c>
      <c r="N371">
        <v>0</v>
      </c>
      <c r="O371" t="s">
        <v>37</v>
      </c>
      <c r="P371" t="s">
        <v>133</v>
      </c>
    </row>
    <row r="372" spans="1:16" x14ac:dyDescent="0.25">
      <c r="A372" t="s">
        <v>702</v>
      </c>
      <c r="B372" t="s">
        <v>615</v>
      </c>
      <c r="C372" t="s">
        <v>18</v>
      </c>
      <c r="D372" t="s">
        <v>157</v>
      </c>
      <c r="E372" t="s">
        <v>158</v>
      </c>
      <c r="F372" t="s">
        <v>21</v>
      </c>
      <c r="G372" t="s">
        <v>44</v>
      </c>
      <c r="H372" t="s">
        <v>23</v>
      </c>
      <c r="I372" t="s">
        <v>97</v>
      </c>
      <c r="J372" t="s">
        <v>56</v>
      </c>
      <c r="K372">
        <v>1</v>
      </c>
      <c r="L372">
        <v>125000</v>
      </c>
      <c r="M372">
        <v>85000</v>
      </c>
      <c r="N372">
        <v>0</v>
      </c>
      <c r="O372" t="s">
        <v>26</v>
      </c>
      <c r="P372" t="s">
        <v>48</v>
      </c>
    </row>
    <row r="373" spans="1:16" x14ac:dyDescent="0.25">
      <c r="A373" t="s">
        <v>703</v>
      </c>
      <c r="B373" t="s">
        <v>704</v>
      </c>
      <c r="C373" t="s">
        <v>40</v>
      </c>
      <c r="D373" t="s">
        <v>60</v>
      </c>
      <c r="E373" t="s">
        <v>61</v>
      </c>
      <c r="F373" t="s">
        <v>43</v>
      </c>
      <c r="G373" t="s">
        <v>22</v>
      </c>
      <c r="H373" t="s">
        <v>112</v>
      </c>
      <c r="I373" t="s">
        <v>55</v>
      </c>
      <c r="J373" t="s">
        <v>56</v>
      </c>
      <c r="K373">
        <v>1</v>
      </c>
      <c r="L373">
        <v>48000</v>
      </c>
      <c r="M373">
        <v>31500</v>
      </c>
      <c r="N373">
        <v>0</v>
      </c>
      <c r="O373" t="s">
        <v>148</v>
      </c>
      <c r="P373" t="s">
        <v>72</v>
      </c>
    </row>
    <row r="374" spans="1:16" x14ac:dyDescent="0.25">
      <c r="A374" t="s">
        <v>705</v>
      </c>
      <c r="B374" t="s">
        <v>497</v>
      </c>
      <c r="C374" t="s">
        <v>30</v>
      </c>
      <c r="D374" t="s">
        <v>83</v>
      </c>
      <c r="E374" t="s">
        <v>84</v>
      </c>
      <c r="F374" t="s">
        <v>85</v>
      </c>
      <c r="G374" t="s">
        <v>62</v>
      </c>
      <c r="H374" t="s">
        <v>23</v>
      </c>
      <c r="I374" t="s">
        <v>51</v>
      </c>
      <c r="J374" t="s">
        <v>36</v>
      </c>
      <c r="K374">
        <v>3</v>
      </c>
      <c r="L374">
        <v>280000</v>
      </c>
      <c r="M374">
        <v>199500</v>
      </c>
      <c r="N374">
        <v>0</v>
      </c>
      <c r="O374" t="s">
        <v>64</v>
      </c>
      <c r="P374" t="s">
        <v>133</v>
      </c>
    </row>
    <row r="375" spans="1:16" x14ac:dyDescent="0.25">
      <c r="A375" t="s">
        <v>706</v>
      </c>
      <c r="B375" t="s">
        <v>583</v>
      </c>
      <c r="C375" t="s">
        <v>40</v>
      </c>
      <c r="D375" t="s">
        <v>120</v>
      </c>
      <c r="E375" t="s">
        <v>121</v>
      </c>
      <c r="F375" t="s">
        <v>122</v>
      </c>
      <c r="G375" t="s">
        <v>33</v>
      </c>
      <c r="H375" t="s">
        <v>63</v>
      </c>
      <c r="I375" t="s">
        <v>24</v>
      </c>
      <c r="J375" t="s">
        <v>25</v>
      </c>
      <c r="K375">
        <v>3</v>
      </c>
      <c r="L375">
        <v>22000</v>
      </c>
      <c r="M375">
        <v>13000</v>
      </c>
      <c r="N375">
        <v>0</v>
      </c>
      <c r="O375" t="s">
        <v>37</v>
      </c>
      <c r="P375" t="s">
        <v>72</v>
      </c>
    </row>
    <row r="376" spans="1:16" x14ac:dyDescent="0.25">
      <c r="A376" t="s">
        <v>707</v>
      </c>
      <c r="B376" t="s">
        <v>304</v>
      </c>
      <c r="C376" t="s">
        <v>40</v>
      </c>
      <c r="D376" t="s">
        <v>19</v>
      </c>
      <c r="E376" t="s">
        <v>20</v>
      </c>
      <c r="F376" t="s">
        <v>21</v>
      </c>
      <c r="G376" t="s">
        <v>62</v>
      </c>
      <c r="H376" t="s">
        <v>96</v>
      </c>
      <c r="I376" t="s">
        <v>51</v>
      </c>
      <c r="J376" t="s">
        <v>36</v>
      </c>
      <c r="K376">
        <v>6</v>
      </c>
      <c r="L376">
        <v>266000</v>
      </c>
      <c r="M376">
        <v>199500</v>
      </c>
      <c r="N376">
        <v>0</v>
      </c>
      <c r="O376" t="s">
        <v>148</v>
      </c>
      <c r="P376" t="s">
        <v>27</v>
      </c>
    </row>
    <row r="377" spans="1:16" x14ac:dyDescent="0.25">
      <c r="A377" t="s">
        <v>708</v>
      </c>
      <c r="B377" t="s">
        <v>709</v>
      </c>
      <c r="C377" t="s">
        <v>18</v>
      </c>
      <c r="D377" t="s">
        <v>110</v>
      </c>
      <c r="E377" t="s">
        <v>111</v>
      </c>
      <c r="F377" t="s">
        <v>85</v>
      </c>
      <c r="G377" t="s">
        <v>44</v>
      </c>
      <c r="H377" t="s">
        <v>96</v>
      </c>
      <c r="I377" t="s">
        <v>75</v>
      </c>
      <c r="J377" t="s">
        <v>36</v>
      </c>
      <c r="K377">
        <v>1</v>
      </c>
      <c r="L377">
        <v>189000</v>
      </c>
      <c r="M377">
        <v>136500</v>
      </c>
      <c r="N377">
        <v>0</v>
      </c>
      <c r="O377" t="s">
        <v>26</v>
      </c>
      <c r="P377" t="s">
        <v>133</v>
      </c>
    </row>
    <row r="378" spans="1:16" x14ac:dyDescent="0.25">
      <c r="A378" t="s">
        <v>710</v>
      </c>
      <c r="B378" t="s">
        <v>173</v>
      </c>
      <c r="C378" t="s">
        <v>30</v>
      </c>
      <c r="D378" t="s">
        <v>110</v>
      </c>
      <c r="E378" t="s">
        <v>111</v>
      </c>
      <c r="F378" t="s">
        <v>85</v>
      </c>
      <c r="G378" t="s">
        <v>22</v>
      </c>
      <c r="H378" t="s">
        <v>112</v>
      </c>
      <c r="I378" t="s">
        <v>113</v>
      </c>
      <c r="J378" t="s">
        <v>36</v>
      </c>
      <c r="K378">
        <v>8</v>
      </c>
      <c r="L378">
        <v>152000</v>
      </c>
      <c r="M378">
        <v>115000</v>
      </c>
      <c r="N378">
        <v>0</v>
      </c>
      <c r="O378" t="s">
        <v>37</v>
      </c>
      <c r="P378" t="s">
        <v>48</v>
      </c>
    </row>
    <row r="379" spans="1:16" x14ac:dyDescent="0.25">
      <c r="A379" t="s">
        <v>711</v>
      </c>
      <c r="B379" t="s">
        <v>259</v>
      </c>
      <c r="C379" t="s">
        <v>18</v>
      </c>
      <c r="D379" t="s">
        <v>131</v>
      </c>
      <c r="E379" t="s">
        <v>132</v>
      </c>
      <c r="F379" t="s">
        <v>80</v>
      </c>
      <c r="G379" t="s">
        <v>33</v>
      </c>
      <c r="H379" t="s">
        <v>23</v>
      </c>
      <c r="I379" t="s">
        <v>24</v>
      </c>
      <c r="J379" t="s">
        <v>25</v>
      </c>
      <c r="K379">
        <v>12</v>
      </c>
      <c r="L379">
        <v>20900</v>
      </c>
      <c r="M379">
        <v>13650</v>
      </c>
      <c r="N379">
        <v>0</v>
      </c>
      <c r="O379" t="s">
        <v>37</v>
      </c>
      <c r="P379" t="s">
        <v>27</v>
      </c>
    </row>
    <row r="380" spans="1:16" x14ac:dyDescent="0.25">
      <c r="A380" t="s">
        <v>712</v>
      </c>
      <c r="B380" t="s">
        <v>713</v>
      </c>
      <c r="C380" t="s">
        <v>30</v>
      </c>
      <c r="D380" t="s">
        <v>157</v>
      </c>
      <c r="E380" t="s">
        <v>158</v>
      </c>
      <c r="F380" t="s">
        <v>21</v>
      </c>
      <c r="G380" t="s">
        <v>62</v>
      </c>
      <c r="H380" t="s">
        <v>23</v>
      </c>
      <c r="I380" t="s">
        <v>93</v>
      </c>
      <c r="J380" t="s">
        <v>46</v>
      </c>
      <c r="K380">
        <v>5</v>
      </c>
      <c r="L380">
        <v>90250</v>
      </c>
      <c r="M380">
        <v>82000</v>
      </c>
      <c r="N380">
        <v>0</v>
      </c>
      <c r="O380" t="s">
        <v>26</v>
      </c>
      <c r="P380" t="s">
        <v>27</v>
      </c>
    </row>
    <row r="381" spans="1:16" x14ac:dyDescent="0.25">
      <c r="A381" t="s">
        <v>714</v>
      </c>
      <c r="B381" t="s">
        <v>715</v>
      </c>
      <c r="C381" t="s">
        <v>40</v>
      </c>
      <c r="D381" t="s">
        <v>131</v>
      </c>
      <c r="E381" t="s">
        <v>132</v>
      </c>
      <c r="F381" t="s">
        <v>80</v>
      </c>
      <c r="G381" t="s">
        <v>33</v>
      </c>
      <c r="H381" t="s">
        <v>34</v>
      </c>
      <c r="I381" t="s">
        <v>55</v>
      </c>
      <c r="J381" t="s">
        <v>56</v>
      </c>
      <c r="K381">
        <v>10</v>
      </c>
      <c r="L381">
        <v>52800</v>
      </c>
      <c r="M381">
        <v>30000</v>
      </c>
      <c r="N381">
        <v>0</v>
      </c>
      <c r="O381" t="s">
        <v>90</v>
      </c>
      <c r="P381" t="s">
        <v>48</v>
      </c>
    </row>
    <row r="382" spans="1:16" x14ac:dyDescent="0.25">
      <c r="A382" t="s">
        <v>716</v>
      </c>
      <c r="B382" t="s">
        <v>684</v>
      </c>
      <c r="C382" t="s">
        <v>30</v>
      </c>
      <c r="D382" t="s">
        <v>131</v>
      </c>
      <c r="E382" t="s">
        <v>132</v>
      </c>
      <c r="F382" t="s">
        <v>80</v>
      </c>
      <c r="G382" t="s">
        <v>44</v>
      </c>
      <c r="H382" t="s">
        <v>34</v>
      </c>
      <c r="I382" t="s">
        <v>55</v>
      </c>
      <c r="J382" t="s">
        <v>56</v>
      </c>
      <c r="K382">
        <v>5</v>
      </c>
      <c r="L382">
        <v>50400</v>
      </c>
      <c r="M382">
        <v>30000</v>
      </c>
      <c r="N382">
        <v>0.15</v>
      </c>
      <c r="O382" t="s">
        <v>64</v>
      </c>
      <c r="P382" t="s">
        <v>48</v>
      </c>
    </row>
    <row r="383" spans="1:16" x14ac:dyDescent="0.25">
      <c r="A383" t="s">
        <v>717</v>
      </c>
      <c r="B383" t="s">
        <v>718</v>
      </c>
      <c r="C383" t="s">
        <v>30</v>
      </c>
      <c r="D383" t="s">
        <v>136</v>
      </c>
      <c r="E383" t="s">
        <v>137</v>
      </c>
      <c r="F383" t="s">
        <v>122</v>
      </c>
      <c r="G383" t="s">
        <v>62</v>
      </c>
      <c r="H383" t="s">
        <v>96</v>
      </c>
      <c r="I383" t="s">
        <v>45</v>
      </c>
      <c r="J383" t="s">
        <v>46</v>
      </c>
      <c r="K383">
        <v>2</v>
      </c>
      <c r="L383">
        <v>18500</v>
      </c>
      <c r="M383">
        <v>14500</v>
      </c>
      <c r="N383">
        <v>0.15</v>
      </c>
      <c r="O383" t="s">
        <v>47</v>
      </c>
      <c r="P383" t="s">
        <v>48</v>
      </c>
    </row>
    <row r="384" spans="1:16" x14ac:dyDescent="0.25">
      <c r="A384" t="s">
        <v>719</v>
      </c>
      <c r="B384" t="s">
        <v>351</v>
      </c>
      <c r="C384" t="s">
        <v>40</v>
      </c>
      <c r="D384" t="s">
        <v>110</v>
      </c>
      <c r="E384" t="s">
        <v>111</v>
      </c>
      <c r="F384" t="s">
        <v>85</v>
      </c>
      <c r="G384" t="s">
        <v>22</v>
      </c>
      <c r="H384" t="s">
        <v>23</v>
      </c>
      <c r="I384" t="s">
        <v>93</v>
      </c>
      <c r="J384" t="s">
        <v>46</v>
      </c>
      <c r="K384">
        <v>4</v>
      </c>
      <c r="L384">
        <v>99750</v>
      </c>
      <c r="M384">
        <v>86100</v>
      </c>
      <c r="N384">
        <v>0.15</v>
      </c>
      <c r="O384" t="s">
        <v>52</v>
      </c>
      <c r="P384" t="s">
        <v>48</v>
      </c>
    </row>
    <row r="385" spans="1:16" x14ac:dyDescent="0.25">
      <c r="A385" t="s">
        <v>720</v>
      </c>
      <c r="B385" t="s">
        <v>721</v>
      </c>
      <c r="C385" t="s">
        <v>40</v>
      </c>
      <c r="D385" t="s">
        <v>83</v>
      </c>
      <c r="E385" t="s">
        <v>84</v>
      </c>
      <c r="F385" t="s">
        <v>85</v>
      </c>
      <c r="G385" t="s">
        <v>62</v>
      </c>
      <c r="H385" t="s">
        <v>34</v>
      </c>
      <c r="I385" t="s">
        <v>35</v>
      </c>
      <c r="J385" t="s">
        <v>36</v>
      </c>
      <c r="K385">
        <v>1</v>
      </c>
      <c r="L385">
        <v>472500</v>
      </c>
      <c r="M385">
        <v>332500</v>
      </c>
      <c r="N385">
        <v>0</v>
      </c>
      <c r="O385" t="s">
        <v>148</v>
      </c>
      <c r="P385" t="s">
        <v>48</v>
      </c>
    </row>
    <row r="386" spans="1:16" x14ac:dyDescent="0.25">
      <c r="A386" t="s">
        <v>722</v>
      </c>
      <c r="B386" t="s">
        <v>723</v>
      </c>
      <c r="C386" t="s">
        <v>30</v>
      </c>
      <c r="D386" t="s">
        <v>41</v>
      </c>
      <c r="E386" t="s">
        <v>42</v>
      </c>
      <c r="F386" t="s">
        <v>43</v>
      </c>
      <c r="G386" t="s">
        <v>44</v>
      </c>
      <c r="H386" t="s">
        <v>23</v>
      </c>
      <c r="I386" t="s">
        <v>102</v>
      </c>
      <c r="J386" t="s">
        <v>25</v>
      </c>
      <c r="K386">
        <v>2</v>
      </c>
      <c r="L386">
        <v>42000</v>
      </c>
      <c r="M386">
        <v>24700</v>
      </c>
      <c r="N386">
        <v>0</v>
      </c>
      <c r="O386" t="s">
        <v>26</v>
      </c>
      <c r="P386" t="s">
        <v>48</v>
      </c>
    </row>
    <row r="387" spans="1:16" x14ac:dyDescent="0.25">
      <c r="A387" t="s">
        <v>724</v>
      </c>
      <c r="B387" t="s">
        <v>725</v>
      </c>
      <c r="C387" t="s">
        <v>40</v>
      </c>
      <c r="D387" t="s">
        <v>78</v>
      </c>
      <c r="E387" t="s">
        <v>79</v>
      </c>
      <c r="F387" t="s">
        <v>80</v>
      </c>
      <c r="G387" t="s">
        <v>33</v>
      </c>
      <c r="H387" t="s">
        <v>112</v>
      </c>
      <c r="I387" t="s">
        <v>113</v>
      </c>
      <c r="J387" t="s">
        <v>36</v>
      </c>
      <c r="K387">
        <v>6</v>
      </c>
      <c r="L387">
        <v>176000</v>
      </c>
      <c r="M387">
        <v>115000</v>
      </c>
      <c r="N387">
        <v>0.15</v>
      </c>
      <c r="O387" t="s">
        <v>47</v>
      </c>
      <c r="P387" t="s">
        <v>48</v>
      </c>
    </row>
    <row r="388" spans="1:16" x14ac:dyDescent="0.25">
      <c r="A388" t="s">
        <v>726</v>
      </c>
      <c r="B388" t="s">
        <v>147</v>
      </c>
      <c r="C388" t="s">
        <v>30</v>
      </c>
      <c r="D388" t="s">
        <v>31</v>
      </c>
      <c r="E388" t="s">
        <v>32</v>
      </c>
      <c r="F388" t="s">
        <v>21</v>
      </c>
      <c r="G388" t="s">
        <v>62</v>
      </c>
      <c r="H388" t="s">
        <v>23</v>
      </c>
      <c r="I388" t="s">
        <v>93</v>
      </c>
      <c r="J388" t="s">
        <v>46</v>
      </c>
      <c r="K388">
        <v>1</v>
      </c>
      <c r="L388">
        <v>95000</v>
      </c>
      <c r="M388">
        <v>82000</v>
      </c>
      <c r="N388">
        <v>0.1</v>
      </c>
      <c r="O388" t="s">
        <v>64</v>
      </c>
      <c r="P388" t="s">
        <v>48</v>
      </c>
    </row>
    <row r="389" spans="1:16" x14ac:dyDescent="0.25">
      <c r="A389" t="s">
        <v>727</v>
      </c>
      <c r="B389" t="s">
        <v>426</v>
      </c>
      <c r="C389" t="s">
        <v>30</v>
      </c>
      <c r="D389" t="s">
        <v>60</v>
      </c>
      <c r="E389" t="s">
        <v>61</v>
      </c>
      <c r="F389" t="s">
        <v>43</v>
      </c>
      <c r="G389" t="s">
        <v>22</v>
      </c>
      <c r="H389" t="s">
        <v>112</v>
      </c>
      <c r="I389" t="s">
        <v>102</v>
      </c>
      <c r="J389" t="s">
        <v>25</v>
      </c>
      <c r="K389">
        <v>2</v>
      </c>
      <c r="L389">
        <v>39900</v>
      </c>
      <c r="M389">
        <v>24700</v>
      </c>
      <c r="N389">
        <v>0</v>
      </c>
      <c r="O389" t="s">
        <v>148</v>
      </c>
      <c r="P389" t="s">
        <v>27</v>
      </c>
    </row>
    <row r="390" spans="1:16" x14ac:dyDescent="0.25">
      <c r="A390" t="s">
        <v>728</v>
      </c>
      <c r="B390" t="s">
        <v>709</v>
      </c>
      <c r="C390" t="s">
        <v>40</v>
      </c>
      <c r="D390" t="s">
        <v>41</v>
      </c>
      <c r="E390" t="s">
        <v>42</v>
      </c>
      <c r="F390" t="s">
        <v>43</v>
      </c>
      <c r="G390" t="s">
        <v>33</v>
      </c>
      <c r="H390" t="s">
        <v>34</v>
      </c>
      <c r="I390" t="s">
        <v>55</v>
      </c>
      <c r="J390" t="s">
        <v>56</v>
      </c>
      <c r="K390">
        <v>4</v>
      </c>
      <c r="L390">
        <v>45600</v>
      </c>
      <c r="M390">
        <v>30000</v>
      </c>
      <c r="N390">
        <v>0.1</v>
      </c>
      <c r="O390" t="s">
        <v>148</v>
      </c>
      <c r="P390" t="s">
        <v>48</v>
      </c>
    </row>
    <row r="391" spans="1:16" x14ac:dyDescent="0.25">
      <c r="A391" t="s">
        <v>729</v>
      </c>
      <c r="B391" t="s">
        <v>438</v>
      </c>
      <c r="C391" t="s">
        <v>40</v>
      </c>
      <c r="D391" t="s">
        <v>88</v>
      </c>
      <c r="E391" t="s">
        <v>89</v>
      </c>
      <c r="F391" t="s">
        <v>43</v>
      </c>
      <c r="G391" t="s">
        <v>22</v>
      </c>
      <c r="H391" t="s">
        <v>63</v>
      </c>
      <c r="I391" t="s">
        <v>75</v>
      </c>
      <c r="J391" t="s">
        <v>36</v>
      </c>
      <c r="K391">
        <v>4</v>
      </c>
      <c r="L391">
        <v>198000</v>
      </c>
      <c r="M391">
        <v>130000</v>
      </c>
      <c r="N391">
        <v>0.05</v>
      </c>
      <c r="O391" t="s">
        <v>64</v>
      </c>
      <c r="P391" t="s">
        <v>133</v>
      </c>
    </row>
    <row r="392" spans="1:16" x14ac:dyDescent="0.25">
      <c r="A392" t="s">
        <v>730</v>
      </c>
      <c r="B392" t="s">
        <v>731</v>
      </c>
      <c r="C392" t="s">
        <v>40</v>
      </c>
      <c r="D392" t="s">
        <v>78</v>
      </c>
      <c r="E392" t="s">
        <v>79</v>
      </c>
      <c r="F392" t="s">
        <v>80</v>
      </c>
      <c r="G392" t="s">
        <v>22</v>
      </c>
      <c r="H392" t="s">
        <v>63</v>
      </c>
      <c r="I392" t="s">
        <v>75</v>
      </c>
      <c r="J392" t="s">
        <v>36</v>
      </c>
      <c r="K392">
        <v>1</v>
      </c>
      <c r="L392">
        <v>180000</v>
      </c>
      <c r="M392">
        <v>130000</v>
      </c>
      <c r="N392">
        <v>0.05</v>
      </c>
      <c r="O392" t="s">
        <v>64</v>
      </c>
      <c r="P392" t="s">
        <v>133</v>
      </c>
    </row>
    <row r="393" spans="1:16" x14ac:dyDescent="0.25">
      <c r="A393" t="s">
        <v>732</v>
      </c>
      <c r="B393" t="s">
        <v>733</v>
      </c>
      <c r="C393" t="s">
        <v>40</v>
      </c>
      <c r="D393" t="s">
        <v>120</v>
      </c>
      <c r="E393" t="s">
        <v>121</v>
      </c>
      <c r="F393" t="s">
        <v>122</v>
      </c>
      <c r="G393" t="s">
        <v>22</v>
      </c>
      <c r="H393" t="s">
        <v>96</v>
      </c>
      <c r="I393" t="s">
        <v>113</v>
      </c>
      <c r="J393" t="s">
        <v>36</v>
      </c>
      <c r="K393">
        <v>2</v>
      </c>
      <c r="L393">
        <v>160000</v>
      </c>
      <c r="M393">
        <v>115000</v>
      </c>
      <c r="N393">
        <v>0</v>
      </c>
      <c r="O393" t="s">
        <v>47</v>
      </c>
      <c r="P393" t="s">
        <v>133</v>
      </c>
    </row>
    <row r="394" spans="1:16" x14ac:dyDescent="0.25">
      <c r="A394" t="s">
        <v>734</v>
      </c>
      <c r="B394" t="s">
        <v>735</v>
      </c>
      <c r="C394" t="s">
        <v>40</v>
      </c>
      <c r="D394" t="s">
        <v>60</v>
      </c>
      <c r="E394" t="s">
        <v>61</v>
      </c>
      <c r="F394" t="s">
        <v>43</v>
      </c>
      <c r="G394" t="s">
        <v>22</v>
      </c>
      <c r="H394" t="s">
        <v>112</v>
      </c>
      <c r="I394" t="s">
        <v>97</v>
      </c>
      <c r="J394" t="s">
        <v>56</v>
      </c>
      <c r="K394">
        <v>10</v>
      </c>
      <c r="L394">
        <v>125000</v>
      </c>
      <c r="M394">
        <v>85000</v>
      </c>
      <c r="N394">
        <v>0</v>
      </c>
      <c r="O394" t="s">
        <v>57</v>
      </c>
      <c r="P394" t="s">
        <v>48</v>
      </c>
    </row>
    <row r="395" spans="1:16" x14ac:dyDescent="0.25">
      <c r="A395" t="s">
        <v>736</v>
      </c>
      <c r="B395" t="s">
        <v>391</v>
      </c>
      <c r="C395" t="s">
        <v>40</v>
      </c>
      <c r="D395" t="s">
        <v>136</v>
      </c>
      <c r="E395" t="s">
        <v>137</v>
      </c>
      <c r="F395" t="s">
        <v>122</v>
      </c>
      <c r="G395" t="s">
        <v>22</v>
      </c>
      <c r="H395" t="s">
        <v>63</v>
      </c>
      <c r="I395" t="s">
        <v>93</v>
      </c>
      <c r="J395" t="s">
        <v>46</v>
      </c>
      <c r="K395">
        <v>2</v>
      </c>
      <c r="L395">
        <v>95000</v>
      </c>
      <c r="M395">
        <v>82000</v>
      </c>
      <c r="N395">
        <v>0.1</v>
      </c>
      <c r="O395" t="s">
        <v>64</v>
      </c>
      <c r="P395" t="s">
        <v>72</v>
      </c>
    </row>
    <row r="396" spans="1:16" x14ac:dyDescent="0.25">
      <c r="A396" t="s">
        <v>737</v>
      </c>
      <c r="B396" t="s">
        <v>351</v>
      </c>
      <c r="C396" t="s">
        <v>30</v>
      </c>
      <c r="D396" t="s">
        <v>78</v>
      </c>
      <c r="E396" t="s">
        <v>79</v>
      </c>
      <c r="F396" t="s">
        <v>80</v>
      </c>
      <c r="G396" t="s">
        <v>22</v>
      </c>
      <c r="H396" t="s">
        <v>34</v>
      </c>
      <c r="I396" t="s">
        <v>105</v>
      </c>
      <c r="J396" t="s">
        <v>71</v>
      </c>
      <c r="K396">
        <v>1</v>
      </c>
      <c r="L396">
        <v>157500</v>
      </c>
      <c r="M396">
        <v>120000</v>
      </c>
      <c r="N396">
        <v>0.1</v>
      </c>
      <c r="O396" t="s">
        <v>64</v>
      </c>
      <c r="P396" t="s">
        <v>48</v>
      </c>
    </row>
    <row r="397" spans="1:16" x14ac:dyDescent="0.25">
      <c r="A397" t="s">
        <v>738</v>
      </c>
      <c r="B397" t="s">
        <v>104</v>
      </c>
      <c r="C397" t="s">
        <v>30</v>
      </c>
      <c r="D397" t="s">
        <v>83</v>
      </c>
      <c r="E397" t="s">
        <v>84</v>
      </c>
      <c r="F397" t="s">
        <v>85</v>
      </c>
      <c r="G397" t="s">
        <v>44</v>
      </c>
      <c r="H397" t="s">
        <v>96</v>
      </c>
      <c r="I397" t="s">
        <v>24</v>
      </c>
      <c r="J397" t="s">
        <v>25</v>
      </c>
      <c r="K397">
        <v>8</v>
      </c>
      <c r="L397">
        <v>20900</v>
      </c>
      <c r="M397">
        <v>13650</v>
      </c>
      <c r="N397">
        <v>0.15</v>
      </c>
      <c r="O397" t="s">
        <v>37</v>
      </c>
      <c r="P397" t="s">
        <v>27</v>
      </c>
    </row>
    <row r="398" spans="1:16" x14ac:dyDescent="0.25">
      <c r="A398" t="s">
        <v>739</v>
      </c>
      <c r="B398" t="s">
        <v>288</v>
      </c>
      <c r="C398" t="s">
        <v>18</v>
      </c>
      <c r="D398" t="s">
        <v>88</v>
      </c>
      <c r="E398" t="s">
        <v>89</v>
      </c>
      <c r="F398" t="s">
        <v>43</v>
      </c>
      <c r="G398" t="s">
        <v>44</v>
      </c>
      <c r="H398" t="s">
        <v>63</v>
      </c>
      <c r="I398" t="s">
        <v>102</v>
      </c>
      <c r="J398" t="s">
        <v>25</v>
      </c>
      <c r="K398">
        <v>1</v>
      </c>
      <c r="L398">
        <v>37800</v>
      </c>
      <c r="M398">
        <v>24700</v>
      </c>
      <c r="N398">
        <v>0</v>
      </c>
      <c r="O398" t="s">
        <v>26</v>
      </c>
      <c r="P398" t="s">
        <v>133</v>
      </c>
    </row>
    <row r="399" spans="1:16" x14ac:dyDescent="0.25">
      <c r="A399" t="s">
        <v>740</v>
      </c>
      <c r="B399" t="s">
        <v>741</v>
      </c>
      <c r="C399" t="s">
        <v>18</v>
      </c>
      <c r="D399" t="s">
        <v>110</v>
      </c>
      <c r="E399" t="s">
        <v>111</v>
      </c>
      <c r="F399" t="s">
        <v>85</v>
      </c>
      <c r="G399" t="s">
        <v>22</v>
      </c>
      <c r="H399" t="s">
        <v>23</v>
      </c>
      <c r="I399" t="s">
        <v>55</v>
      </c>
      <c r="J399" t="s">
        <v>56</v>
      </c>
      <c r="K399">
        <v>4</v>
      </c>
      <c r="L399">
        <v>48000</v>
      </c>
      <c r="M399">
        <v>30000</v>
      </c>
      <c r="N399">
        <v>0</v>
      </c>
      <c r="O399" t="s">
        <v>52</v>
      </c>
      <c r="P399" t="s">
        <v>27</v>
      </c>
    </row>
    <row r="400" spans="1:16" x14ac:dyDescent="0.25">
      <c r="A400" t="s">
        <v>742</v>
      </c>
      <c r="B400" t="s">
        <v>353</v>
      </c>
      <c r="C400" t="s">
        <v>40</v>
      </c>
      <c r="D400" t="s">
        <v>131</v>
      </c>
      <c r="E400" t="s">
        <v>132</v>
      </c>
      <c r="F400" t="s">
        <v>80</v>
      </c>
      <c r="G400" t="s">
        <v>62</v>
      </c>
      <c r="H400" t="s">
        <v>23</v>
      </c>
      <c r="I400" t="s">
        <v>102</v>
      </c>
      <c r="J400" t="s">
        <v>25</v>
      </c>
      <c r="K400">
        <v>1</v>
      </c>
      <c r="L400">
        <v>46200</v>
      </c>
      <c r="M400">
        <v>24700</v>
      </c>
      <c r="N400">
        <v>0</v>
      </c>
      <c r="O400" t="s">
        <v>52</v>
      </c>
      <c r="P400" t="s">
        <v>48</v>
      </c>
    </row>
    <row r="401" spans="1:16" x14ac:dyDescent="0.25">
      <c r="A401" t="s">
        <v>743</v>
      </c>
      <c r="B401" t="s">
        <v>744</v>
      </c>
      <c r="C401" t="s">
        <v>18</v>
      </c>
      <c r="D401" t="s">
        <v>110</v>
      </c>
      <c r="E401" t="s">
        <v>111</v>
      </c>
      <c r="F401" t="s">
        <v>85</v>
      </c>
      <c r="G401" t="s">
        <v>44</v>
      </c>
      <c r="H401" t="s">
        <v>112</v>
      </c>
      <c r="I401" t="s">
        <v>70</v>
      </c>
      <c r="J401" t="s">
        <v>71</v>
      </c>
      <c r="K401">
        <v>3</v>
      </c>
      <c r="L401">
        <v>104500</v>
      </c>
      <c r="M401">
        <v>58900</v>
      </c>
      <c r="N401">
        <v>0.05</v>
      </c>
      <c r="O401" t="s">
        <v>57</v>
      </c>
      <c r="P401" t="s">
        <v>133</v>
      </c>
    </row>
    <row r="402" spans="1:16" x14ac:dyDescent="0.25">
      <c r="A402" t="s">
        <v>745</v>
      </c>
      <c r="B402" t="s">
        <v>746</v>
      </c>
      <c r="C402" t="s">
        <v>18</v>
      </c>
      <c r="D402" t="s">
        <v>157</v>
      </c>
      <c r="E402" t="s">
        <v>158</v>
      </c>
      <c r="F402" t="s">
        <v>21</v>
      </c>
      <c r="G402" t="s">
        <v>22</v>
      </c>
      <c r="H402" t="s">
        <v>96</v>
      </c>
      <c r="I402" t="s">
        <v>24</v>
      </c>
      <c r="J402" t="s">
        <v>25</v>
      </c>
      <c r="K402">
        <v>2</v>
      </c>
      <c r="L402">
        <v>24200</v>
      </c>
      <c r="M402">
        <v>13000</v>
      </c>
      <c r="N402">
        <v>0</v>
      </c>
      <c r="O402" t="s">
        <v>148</v>
      </c>
      <c r="P402" t="s">
        <v>133</v>
      </c>
    </row>
    <row r="403" spans="1:16" x14ac:dyDescent="0.25">
      <c r="A403" t="s">
        <v>747</v>
      </c>
      <c r="B403" t="s">
        <v>152</v>
      </c>
      <c r="C403" t="s">
        <v>30</v>
      </c>
      <c r="D403" t="s">
        <v>131</v>
      </c>
      <c r="E403" t="s">
        <v>132</v>
      </c>
      <c r="F403" t="s">
        <v>80</v>
      </c>
      <c r="G403" t="s">
        <v>62</v>
      </c>
      <c r="H403" t="s">
        <v>34</v>
      </c>
      <c r="I403" t="s">
        <v>45</v>
      </c>
      <c r="J403" t="s">
        <v>46</v>
      </c>
      <c r="K403">
        <v>3</v>
      </c>
      <c r="L403">
        <v>18500</v>
      </c>
      <c r="M403">
        <v>13775</v>
      </c>
      <c r="N403">
        <v>0</v>
      </c>
      <c r="O403" t="s">
        <v>26</v>
      </c>
      <c r="P403" t="s">
        <v>27</v>
      </c>
    </row>
    <row r="404" spans="1:16" x14ac:dyDescent="0.25">
      <c r="A404" t="s">
        <v>748</v>
      </c>
      <c r="B404" t="s">
        <v>193</v>
      </c>
      <c r="C404" t="s">
        <v>18</v>
      </c>
      <c r="D404" t="s">
        <v>78</v>
      </c>
      <c r="E404" t="s">
        <v>79</v>
      </c>
      <c r="F404" t="s">
        <v>80</v>
      </c>
      <c r="G404" t="s">
        <v>44</v>
      </c>
      <c r="H404" t="s">
        <v>23</v>
      </c>
      <c r="I404" t="s">
        <v>24</v>
      </c>
      <c r="J404" t="s">
        <v>25</v>
      </c>
      <c r="K404">
        <v>1</v>
      </c>
      <c r="L404">
        <v>20900</v>
      </c>
      <c r="M404">
        <v>13000</v>
      </c>
      <c r="N404">
        <v>0.1</v>
      </c>
      <c r="O404" t="s">
        <v>148</v>
      </c>
      <c r="P404" t="s">
        <v>48</v>
      </c>
    </row>
    <row r="405" spans="1:16" x14ac:dyDescent="0.25">
      <c r="A405" t="s">
        <v>749</v>
      </c>
      <c r="B405" t="s">
        <v>128</v>
      </c>
      <c r="C405" t="s">
        <v>18</v>
      </c>
      <c r="D405" t="s">
        <v>110</v>
      </c>
      <c r="E405" t="s">
        <v>111</v>
      </c>
      <c r="F405" t="s">
        <v>85</v>
      </c>
      <c r="G405" t="s">
        <v>44</v>
      </c>
      <c r="H405" t="s">
        <v>23</v>
      </c>
      <c r="I405" t="s">
        <v>93</v>
      </c>
      <c r="J405" t="s">
        <v>46</v>
      </c>
      <c r="K405">
        <v>5</v>
      </c>
      <c r="L405">
        <v>85500</v>
      </c>
      <c r="M405">
        <v>82000</v>
      </c>
      <c r="N405">
        <v>0.15</v>
      </c>
      <c r="O405" t="s">
        <v>37</v>
      </c>
      <c r="P405" t="s">
        <v>48</v>
      </c>
    </row>
    <row r="406" spans="1:16" x14ac:dyDescent="0.25">
      <c r="A406" t="s">
        <v>750</v>
      </c>
      <c r="B406" t="s">
        <v>751</v>
      </c>
      <c r="C406" t="s">
        <v>18</v>
      </c>
      <c r="D406" t="s">
        <v>88</v>
      </c>
      <c r="E406" t="s">
        <v>89</v>
      </c>
      <c r="F406" t="s">
        <v>43</v>
      </c>
      <c r="G406" t="s">
        <v>44</v>
      </c>
      <c r="H406" t="s">
        <v>63</v>
      </c>
      <c r="I406" t="s">
        <v>105</v>
      </c>
      <c r="J406" t="s">
        <v>71</v>
      </c>
      <c r="K406">
        <v>1</v>
      </c>
      <c r="L406">
        <v>183750</v>
      </c>
      <c r="M406">
        <v>120000</v>
      </c>
      <c r="N406">
        <v>0</v>
      </c>
      <c r="O406" t="s">
        <v>37</v>
      </c>
      <c r="P406" t="s">
        <v>133</v>
      </c>
    </row>
    <row r="407" spans="1:16" x14ac:dyDescent="0.25">
      <c r="A407" t="s">
        <v>752</v>
      </c>
      <c r="B407" t="s">
        <v>753</v>
      </c>
      <c r="C407" t="s">
        <v>40</v>
      </c>
      <c r="D407" t="s">
        <v>88</v>
      </c>
      <c r="E407" t="s">
        <v>89</v>
      </c>
      <c r="F407" t="s">
        <v>43</v>
      </c>
      <c r="G407" t="s">
        <v>33</v>
      </c>
      <c r="H407" t="s">
        <v>34</v>
      </c>
      <c r="I407" t="s">
        <v>97</v>
      </c>
      <c r="J407" t="s">
        <v>56</v>
      </c>
      <c r="K407">
        <v>4</v>
      </c>
      <c r="L407">
        <v>125000</v>
      </c>
      <c r="M407">
        <v>85000</v>
      </c>
      <c r="N407">
        <v>0.1</v>
      </c>
      <c r="O407" t="s">
        <v>148</v>
      </c>
      <c r="P407" t="s">
        <v>48</v>
      </c>
    </row>
    <row r="408" spans="1:16" x14ac:dyDescent="0.25">
      <c r="A408" t="s">
        <v>754</v>
      </c>
      <c r="B408" t="s">
        <v>755</v>
      </c>
      <c r="C408" t="s">
        <v>30</v>
      </c>
      <c r="D408" t="s">
        <v>60</v>
      </c>
      <c r="E408" t="s">
        <v>61</v>
      </c>
      <c r="F408" t="s">
        <v>43</v>
      </c>
      <c r="G408" t="s">
        <v>62</v>
      </c>
      <c r="H408" t="s">
        <v>112</v>
      </c>
      <c r="I408" t="s">
        <v>105</v>
      </c>
      <c r="J408" t="s">
        <v>71</v>
      </c>
      <c r="K408">
        <v>6</v>
      </c>
      <c r="L408">
        <v>183750</v>
      </c>
      <c r="M408">
        <v>126000</v>
      </c>
      <c r="N408">
        <v>0</v>
      </c>
      <c r="O408" t="s">
        <v>37</v>
      </c>
      <c r="P408" t="s">
        <v>48</v>
      </c>
    </row>
    <row r="409" spans="1:16" x14ac:dyDescent="0.25">
      <c r="A409" t="s">
        <v>756</v>
      </c>
      <c r="B409" t="s">
        <v>328</v>
      </c>
      <c r="C409" t="s">
        <v>18</v>
      </c>
      <c r="D409" t="s">
        <v>88</v>
      </c>
      <c r="E409" t="s">
        <v>89</v>
      </c>
      <c r="F409" t="s">
        <v>43</v>
      </c>
      <c r="G409" t="s">
        <v>62</v>
      </c>
      <c r="H409" t="s">
        <v>34</v>
      </c>
      <c r="I409" t="s">
        <v>97</v>
      </c>
      <c r="J409" t="s">
        <v>56</v>
      </c>
      <c r="K409">
        <v>6</v>
      </c>
      <c r="L409">
        <v>125000</v>
      </c>
      <c r="M409">
        <v>80750</v>
      </c>
      <c r="N409">
        <v>0</v>
      </c>
      <c r="O409" t="s">
        <v>64</v>
      </c>
      <c r="P409" t="s">
        <v>133</v>
      </c>
    </row>
    <row r="410" spans="1:16" x14ac:dyDescent="0.25">
      <c r="A410" t="s">
        <v>757</v>
      </c>
      <c r="B410" t="s">
        <v>654</v>
      </c>
      <c r="C410" t="s">
        <v>18</v>
      </c>
      <c r="D410" t="s">
        <v>136</v>
      </c>
      <c r="E410" t="s">
        <v>137</v>
      </c>
      <c r="F410" t="s">
        <v>122</v>
      </c>
      <c r="G410" t="s">
        <v>33</v>
      </c>
      <c r="H410" t="s">
        <v>23</v>
      </c>
      <c r="I410" t="s">
        <v>70</v>
      </c>
      <c r="J410" t="s">
        <v>71</v>
      </c>
      <c r="K410">
        <v>10</v>
      </c>
      <c r="L410">
        <v>85500</v>
      </c>
      <c r="M410">
        <v>58900</v>
      </c>
      <c r="N410">
        <v>0</v>
      </c>
      <c r="O410" t="s">
        <v>64</v>
      </c>
      <c r="P410" t="s">
        <v>27</v>
      </c>
    </row>
    <row r="411" spans="1:16" x14ac:dyDescent="0.25">
      <c r="A411" t="s">
        <v>758</v>
      </c>
      <c r="B411" t="s">
        <v>664</v>
      </c>
      <c r="C411" t="s">
        <v>40</v>
      </c>
      <c r="D411" t="s">
        <v>78</v>
      </c>
      <c r="E411" t="s">
        <v>79</v>
      </c>
      <c r="F411" t="s">
        <v>80</v>
      </c>
      <c r="G411" t="s">
        <v>44</v>
      </c>
      <c r="H411" t="s">
        <v>23</v>
      </c>
      <c r="I411" t="s">
        <v>35</v>
      </c>
      <c r="J411" t="s">
        <v>36</v>
      </c>
      <c r="K411">
        <v>2</v>
      </c>
      <c r="L411">
        <v>450000</v>
      </c>
      <c r="M411">
        <v>367500</v>
      </c>
      <c r="N411">
        <v>0.15</v>
      </c>
      <c r="O411" t="s">
        <v>57</v>
      </c>
      <c r="P411" t="s">
        <v>48</v>
      </c>
    </row>
    <row r="412" spans="1:16" x14ac:dyDescent="0.25">
      <c r="A412" t="s">
        <v>759</v>
      </c>
      <c r="B412" t="s">
        <v>353</v>
      </c>
      <c r="C412" t="s">
        <v>30</v>
      </c>
      <c r="D412" t="s">
        <v>110</v>
      </c>
      <c r="E412" t="s">
        <v>111</v>
      </c>
      <c r="F412" t="s">
        <v>85</v>
      </c>
      <c r="G412" t="s">
        <v>44</v>
      </c>
      <c r="H412" t="s">
        <v>23</v>
      </c>
      <c r="I412" t="s">
        <v>75</v>
      </c>
      <c r="J412" t="s">
        <v>36</v>
      </c>
      <c r="K412">
        <v>3</v>
      </c>
      <c r="L412">
        <v>162000</v>
      </c>
      <c r="M412">
        <v>136500</v>
      </c>
      <c r="N412">
        <v>0</v>
      </c>
      <c r="O412" t="s">
        <v>90</v>
      </c>
      <c r="P412" t="s">
        <v>48</v>
      </c>
    </row>
    <row r="413" spans="1:16" x14ac:dyDescent="0.25">
      <c r="A413" t="s">
        <v>760</v>
      </c>
      <c r="B413" t="s">
        <v>428</v>
      </c>
      <c r="C413" t="s">
        <v>18</v>
      </c>
      <c r="D413" t="s">
        <v>157</v>
      </c>
      <c r="E413" t="s">
        <v>158</v>
      </c>
      <c r="F413" t="s">
        <v>21</v>
      </c>
      <c r="G413" t="s">
        <v>44</v>
      </c>
      <c r="H413" t="s">
        <v>112</v>
      </c>
      <c r="I413" t="s">
        <v>93</v>
      </c>
      <c r="J413" t="s">
        <v>761</v>
      </c>
      <c r="K413">
        <v>3</v>
      </c>
      <c r="L413">
        <v>90250</v>
      </c>
      <c r="M413">
        <v>82000</v>
      </c>
      <c r="N413">
        <v>0.15</v>
      </c>
      <c r="O413" t="s">
        <v>64</v>
      </c>
      <c r="P413" t="s">
        <v>48</v>
      </c>
    </row>
    <row r="414" spans="1:16" x14ac:dyDescent="0.25">
      <c r="A414" t="s">
        <v>762</v>
      </c>
      <c r="B414" t="s">
        <v>755</v>
      </c>
      <c r="C414" t="s">
        <v>40</v>
      </c>
      <c r="D414" t="s">
        <v>41</v>
      </c>
      <c r="E414" t="s">
        <v>42</v>
      </c>
      <c r="F414" t="s">
        <v>43</v>
      </c>
      <c r="G414" t="s">
        <v>33</v>
      </c>
      <c r="H414" t="s">
        <v>96</v>
      </c>
      <c r="I414" t="s">
        <v>51</v>
      </c>
      <c r="J414" t="s">
        <v>36</v>
      </c>
      <c r="K414">
        <v>3</v>
      </c>
      <c r="L414">
        <v>252000</v>
      </c>
      <c r="M414">
        <v>210000</v>
      </c>
      <c r="N414">
        <v>0.1</v>
      </c>
      <c r="O414" t="s">
        <v>148</v>
      </c>
      <c r="P414" t="s">
        <v>72</v>
      </c>
    </row>
    <row r="415" spans="1:16" x14ac:dyDescent="0.25">
      <c r="A415" t="s">
        <v>763</v>
      </c>
      <c r="B415" t="s">
        <v>764</v>
      </c>
      <c r="C415" t="s">
        <v>30</v>
      </c>
      <c r="D415" t="s">
        <v>88</v>
      </c>
      <c r="E415" t="s">
        <v>89</v>
      </c>
      <c r="F415" t="s">
        <v>43</v>
      </c>
      <c r="G415" t="s">
        <v>44</v>
      </c>
      <c r="H415" t="s">
        <v>112</v>
      </c>
      <c r="I415" t="s">
        <v>24</v>
      </c>
      <c r="J415" t="s">
        <v>25</v>
      </c>
      <c r="K415">
        <v>1</v>
      </c>
      <c r="L415">
        <v>22000</v>
      </c>
      <c r="M415">
        <v>13000</v>
      </c>
      <c r="N415">
        <v>0.15</v>
      </c>
      <c r="O415" t="s">
        <v>26</v>
      </c>
      <c r="P415" t="s">
        <v>133</v>
      </c>
    </row>
    <row r="416" spans="1:16" x14ac:dyDescent="0.25">
      <c r="A416" t="s">
        <v>765</v>
      </c>
      <c r="B416" t="s">
        <v>288</v>
      </c>
      <c r="C416" t="s">
        <v>18</v>
      </c>
      <c r="D416" t="s">
        <v>131</v>
      </c>
      <c r="E416" t="s">
        <v>132</v>
      </c>
      <c r="F416" t="s">
        <v>80</v>
      </c>
      <c r="G416" t="s">
        <v>33</v>
      </c>
      <c r="H416" t="s">
        <v>63</v>
      </c>
      <c r="I416" t="s">
        <v>105</v>
      </c>
      <c r="J416" t="s">
        <v>71</v>
      </c>
      <c r="K416">
        <v>5</v>
      </c>
      <c r="L416">
        <v>192500</v>
      </c>
      <c r="M416">
        <v>114000</v>
      </c>
      <c r="N416">
        <v>0.1</v>
      </c>
      <c r="O416" t="s">
        <v>47</v>
      </c>
      <c r="P416" t="s">
        <v>72</v>
      </c>
    </row>
    <row r="417" spans="1:16" x14ac:dyDescent="0.25">
      <c r="A417" t="s">
        <v>766</v>
      </c>
      <c r="B417" t="s">
        <v>99</v>
      </c>
      <c r="C417" t="s">
        <v>18</v>
      </c>
      <c r="D417" t="s">
        <v>110</v>
      </c>
      <c r="E417" t="s">
        <v>111</v>
      </c>
      <c r="F417" t="s">
        <v>85</v>
      </c>
      <c r="G417" t="s">
        <v>62</v>
      </c>
      <c r="H417" t="s">
        <v>34</v>
      </c>
      <c r="I417" t="s">
        <v>97</v>
      </c>
      <c r="J417" t="s">
        <v>56</v>
      </c>
      <c r="K417">
        <v>10</v>
      </c>
      <c r="L417">
        <v>112500</v>
      </c>
      <c r="M417">
        <v>85000</v>
      </c>
      <c r="N417">
        <v>0.05</v>
      </c>
      <c r="O417" t="s">
        <v>90</v>
      </c>
      <c r="P417" t="s">
        <v>48</v>
      </c>
    </row>
    <row r="418" spans="1:16" x14ac:dyDescent="0.25">
      <c r="A418" t="s">
        <v>767</v>
      </c>
      <c r="B418" t="s">
        <v>233</v>
      </c>
      <c r="C418" t="s">
        <v>40</v>
      </c>
      <c r="D418" t="s">
        <v>157</v>
      </c>
      <c r="E418" t="s">
        <v>158</v>
      </c>
      <c r="F418" t="s">
        <v>21</v>
      </c>
      <c r="G418" t="s">
        <v>22</v>
      </c>
      <c r="H418" t="s">
        <v>112</v>
      </c>
      <c r="I418" t="s">
        <v>75</v>
      </c>
      <c r="J418" t="s">
        <v>36</v>
      </c>
      <c r="K418">
        <v>3</v>
      </c>
      <c r="L418">
        <v>189000</v>
      </c>
      <c r="M418">
        <v>123500</v>
      </c>
      <c r="N418">
        <v>0.15</v>
      </c>
      <c r="O418" t="s">
        <v>37</v>
      </c>
      <c r="P418" t="s">
        <v>72</v>
      </c>
    </row>
    <row r="419" spans="1:16" x14ac:dyDescent="0.25">
      <c r="A419" t="s">
        <v>768</v>
      </c>
      <c r="B419" t="s">
        <v>490</v>
      </c>
      <c r="C419" t="s">
        <v>18</v>
      </c>
      <c r="D419" t="s">
        <v>60</v>
      </c>
      <c r="E419" t="s">
        <v>61</v>
      </c>
      <c r="F419" t="s">
        <v>43</v>
      </c>
      <c r="G419" t="s">
        <v>44</v>
      </c>
      <c r="H419" t="s">
        <v>34</v>
      </c>
      <c r="I419" t="s">
        <v>97</v>
      </c>
      <c r="J419" t="s">
        <v>56</v>
      </c>
      <c r="K419">
        <v>4</v>
      </c>
      <c r="L419">
        <v>131250</v>
      </c>
      <c r="M419">
        <v>89250</v>
      </c>
      <c r="N419">
        <v>0</v>
      </c>
      <c r="O419" t="s">
        <v>148</v>
      </c>
      <c r="P419" t="s">
        <v>48</v>
      </c>
    </row>
    <row r="420" spans="1:16" x14ac:dyDescent="0.25">
      <c r="A420" t="s">
        <v>769</v>
      </c>
      <c r="B420" t="s">
        <v>599</v>
      </c>
      <c r="C420" t="s">
        <v>30</v>
      </c>
      <c r="D420" t="s">
        <v>157</v>
      </c>
      <c r="E420" t="s">
        <v>158</v>
      </c>
      <c r="F420" t="s">
        <v>21</v>
      </c>
      <c r="G420" t="s">
        <v>22</v>
      </c>
      <c r="H420" t="s">
        <v>63</v>
      </c>
      <c r="I420" t="s">
        <v>45</v>
      </c>
      <c r="J420" t="s">
        <v>46</v>
      </c>
      <c r="K420">
        <v>1</v>
      </c>
      <c r="L420">
        <v>18500</v>
      </c>
      <c r="M420">
        <v>14500</v>
      </c>
      <c r="N420">
        <v>0.1</v>
      </c>
      <c r="O420" t="s">
        <v>52</v>
      </c>
      <c r="P420" t="s">
        <v>133</v>
      </c>
    </row>
    <row r="421" spans="1:16" x14ac:dyDescent="0.25">
      <c r="A421" t="s">
        <v>770</v>
      </c>
      <c r="B421" t="s">
        <v>187</v>
      </c>
      <c r="C421" t="s">
        <v>30</v>
      </c>
      <c r="D421" t="s">
        <v>110</v>
      </c>
      <c r="E421" t="s">
        <v>111</v>
      </c>
      <c r="F421" t="s">
        <v>85</v>
      </c>
      <c r="G421" t="s">
        <v>44</v>
      </c>
      <c r="H421" t="s">
        <v>23</v>
      </c>
      <c r="I421" t="s">
        <v>113</v>
      </c>
      <c r="J421" t="s">
        <v>36</v>
      </c>
      <c r="K421">
        <v>4</v>
      </c>
      <c r="L421">
        <v>160000</v>
      </c>
      <c r="M421">
        <v>120750</v>
      </c>
      <c r="N421">
        <v>0</v>
      </c>
      <c r="O421" t="s">
        <v>90</v>
      </c>
      <c r="P421" t="s">
        <v>72</v>
      </c>
    </row>
    <row r="422" spans="1:16" x14ac:dyDescent="0.25">
      <c r="A422" t="s">
        <v>771</v>
      </c>
      <c r="B422" t="s">
        <v>450</v>
      </c>
      <c r="C422" t="s">
        <v>18</v>
      </c>
      <c r="D422" t="s">
        <v>120</v>
      </c>
      <c r="E422" t="s">
        <v>121</v>
      </c>
      <c r="F422" t="s">
        <v>122</v>
      </c>
      <c r="G422" t="s">
        <v>44</v>
      </c>
      <c r="H422" t="s">
        <v>112</v>
      </c>
      <c r="I422" t="s">
        <v>45</v>
      </c>
      <c r="J422" t="s">
        <v>46</v>
      </c>
      <c r="K422">
        <v>3</v>
      </c>
      <c r="L422">
        <v>17575</v>
      </c>
      <c r="M422">
        <v>14500</v>
      </c>
      <c r="N422">
        <v>0.05</v>
      </c>
      <c r="O422" t="s">
        <v>26</v>
      </c>
      <c r="P422" t="s">
        <v>133</v>
      </c>
    </row>
    <row r="423" spans="1:16" x14ac:dyDescent="0.25">
      <c r="A423" t="s">
        <v>772</v>
      </c>
      <c r="B423" t="s">
        <v>686</v>
      </c>
      <c r="C423" t="s">
        <v>18</v>
      </c>
      <c r="D423" t="s">
        <v>19</v>
      </c>
      <c r="E423" t="s">
        <v>20</v>
      </c>
      <c r="F423" t="s">
        <v>21</v>
      </c>
      <c r="G423" t="s">
        <v>33</v>
      </c>
      <c r="H423" t="s">
        <v>23</v>
      </c>
      <c r="I423" t="s">
        <v>75</v>
      </c>
      <c r="J423" t="s">
        <v>36</v>
      </c>
      <c r="K423">
        <v>1</v>
      </c>
      <c r="L423">
        <v>180000</v>
      </c>
      <c r="M423">
        <v>136500</v>
      </c>
      <c r="N423">
        <v>0</v>
      </c>
      <c r="O423" t="s">
        <v>148</v>
      </c>
      <c r="P423" t="s">
        <v>48</v>
      </c>
    </row>
    <row r="424" spans="1:16" x14ac:dyDescent="0.25">
      <c r="A424" t="s">
        <v>773</v>
      </c>
      <c r="B424" t="s">
        <v>678</v>
      </c>
      <c r="C424" t="s">
        <v>30</v>
      </c>
      <c r="D424" t="s">
        <v>78</v>
      </c>
      <c r="E424" t="s">
        <v>79</v>
      </c>
      <c r="F424" t="s">
        <v>80</v>
      </c>
      <c r="G424" t="s">
        <v>22</v>
      </c>
      <c r="H424" t="s">
        <v>112</v>
      </c>
      <c r="I424" t="s">
        <v>93</v>
      </c>
      <c r="J424" t="s">
        <v>46</v>
      </c>
      <c r="K424">
        <v>6</v>
      </c>
      <c r="L424">
        <v>85500</v>
      </c>
      <c r="M424">
        <v>86100</v>
      </c>
      <c r="N424">
        <v>0.15</v>
      </c>
      <c r="O424" t="s">
        <v>26</v>
      </c>
      <c r="P424" t="s">
        <v>133</v>
      </c>
    </row>
    <row r="425" spans="1:16" x14ac:dyDescent="0.25">
      <c r="A425" t="s">
        <v>774</v>
      </c>
      <c r="B425" t="s">
        <v>250</v>
      </c>
      <c r="C425" t="s">
        <v>30</v>
      </c>
      <c r="D425" t="s">
        <v>31</v>
      </c>
      <c r="E425" t="s">
        <v>32</v>
      </c>
      <c r="F425" t="s">
        <v>21</v>
      </c>
      <c r="G425" t="s">
        <v>22</v>
      </c>
      <c r="H425" t="s">
        <v>112</v>
      </c>
      <c r="I425" t="s">
        <v>105</v>
      </c>
      <c r="J425" t="s">
        <v>71</v>
      </c>
      <c r="K425">
        <v>5</v>
      </c>
      <c r="L425">
        <v>175000</v>
      </c>
      <c r="M425">
        <v>120000</v>
      </c>
      <c r="N425">
        <v>0.05</v>
      </c>
      <c r="O425" t="s">
        <v>90</v>
      </c>
      <c r="P425" t="s">
        <v>48</v>
      </c>
    </row>
    <row r="426" spans="1:16" x14ac:dyDescent="0.25">
      <c r="A426" t="s">
        <v>775</v>
      </c>
      <c r="B426" t="s">
        <v>776</v>
      </c>
      <c r="C426" t="s">
        <v>40</v>
      </c>
      <c r="D426" t="s">
        <v>110</v>
      </c>
      <c r="E426" t="s">
        <v>111</v>
      </c>
      <c r="F426" t="s">
        <v>85</v>
      </c>
      <c r="G426" t="s">
        <v>62</v>
      </c>
      <c r="H426" t="s">
        <v>34</v>
      </c>
      <c r="I426" t="s">
        <v>70</v>
      </c>
      <c r="J426" t="s">
        <v>71</v>
      </c>
      <c r="K426">
        <v>6</v>
      </c>
      <c r="L426">
        <v>104500</v>
      </c>
      <c r="M426">
        <v>58900</v>
      </c>
      <c r="N426">
        <v>0</v>
      </c>
      <c r="O426" t="s">
        <v>148</v>
      </c>
      <c r="P426" t="s">
        <v>133</v>
      </c>
    </row>
    <row r="427" spans="1:16" x14ac:dyDescent="0.25">
      <c r="A427" t="s">
        <v>777</v>
      </c>
      <c r="B427" t="s">
        <v>778</v>
      </c>
      <c r="C427" t="s">
        <v>30</v>
      </c>
      <c r="D427" t="s">
        <v>136</v>
      </c>
      <c r="E427" t="s">
        <v>137</v>
      </c>
      <c r="F427" t="s">
        <v>122</v>
      </c>
      <c r="G427" t="s">
        <v>44</v>
      </c>
      <c r="H427" t="s">
        <v>63</v>
      </c>
      <c r="I427" t="s">
        <v>102</v>
      </c>
      <c r="J427" t="s">
        <v>25</v>
      </c>
      <c r="K427">
        <v>6</v>
      </c>
      <c r="L427">
        <v>42000</v>
      </c>
      <c r="M427">
        <v>24700</v>
      </c>
      <c r="N427">
        <v>0.1</v>
      </c>
      <c r="O427" t="s">
        <v>26</v>
      </c>
      <c r="P427" t="s">
        <v>72</v>
      </c>
    </row>
    <row r="428" spans="1:16" x14ac:dyDescent="0.25">
      <c r="A428" t="s">
        <v>779</v>
      </c>
      <c r="B428" t="s">
        <v>452</v>
      </c>
      <c r="C428" t="s">
        <v>30</v>
      </c>
      <c r="D428" t="s">
        <v>19</v>
      </c>
      <c r="E428" t="s">
        <v>20</v>
      </c>
      <c r="F428" t="s">
        <v>21</v>
      </c>
      <c r="G428" t="s">
        <v>62</v>
      </c>
      <c r="H428" t="s">
        <v>23</v>
      </c>
      <c r="I428" t="s">
        <v>105</v>
      </c>
      <c r="J428" t="s">
        <v>71</v>
      </c>
      <c r="K428">
        <v>1</v>
      </c>
      <c r="L428">
        <v>183750</v>
      </c>
      <c r="M428">
        <v>120000</v>
      </c>
      <c r="N428">
        <v>0</v>
      </c>
      <c r="O428" t="s">
        <v>57</v>
      </c>
      <c r="P428" t="s">
        <v>72</v>
      </c>
    </row>
    <row r="429" spans="1:16" x14ac:dyDescent="0.25">
      <c r="A429" t="s">
        <v>780</v>
      </c>
      <c r="B429" t="s">
        <v>781</v>
      </c>
      <c r="C429" t="s">
        <v>30</v>
      </c>
      <c r="D429" t="s">
        <v>83</v>
      </c>
      <c r="E429" t="s">
        <v>84</v>
      </c>
      <c r="F429" t="s">
        <v>85</v>
      </c>
      <c r="G429" t="s">
        <v>33</v>
      </c>
      <c r="H429" t="s">
        <v>63</v>
      </c>
      <c r="I429" t="s">
        <v>24</v>
      </c>
      <c r="J429" t="s">
        <v>25</v>
      </c>
      <c r="K429">
        <v>6</v>
      </c>
      <c r="L429">
        <v>22000</v>
      </c>
      <c r="M429">
        <v>13650</v>
      </c>
      <c r="N429">
        <v>0</v>
      </c>
      <c r="O429" t="s">
        <v>57</v>
      </c>
      <c r="P429" t="s">
        <v>133</v>
      </c>
    </row>
    <row r="430" spans="1:16" x14ac:dyDescent="0.25">
      <c r="A430" t="s">
        <v>782</v>
      </c>
      <c r="B430" t="s">
        <v>223</v>
      </c>
      <c r="C430" t="s">
        <v>18</v>
      </c>
      <c r="D430" t="s">
        <v>88</v>
      </c>
      <c r="E430" t="s">
        <v>89</v>
      </c>
      <c r="F430" t="s">
        <v>43</v>
      </c>
      <c r="G430" t="s">
        <v>33</v>
      </c>
      <c r="H430" t="s">
        <v>34</v>
      </c>
      <c r="I430" t="s">
        <v>45</v>
      </c>
      <c r="J430" t="s">
        <v>46</v>
      </c>
      <c r="K430">
        <v>6</v>
      </c>
      <c r="L430">
        <v>18500</v>
      </c>
      <c r="M430">
        <v>14500</v>
      </c>
      <c r="N430">
        <v>0.15</v>
      </c>
      <c r="O430" t="s">
        <v>52</v>
      </c>
      <c r="P430" t="s">
        <v>27</v>
      </c>
    </row>
    <row r="431" spans="1:16" x14ac:dyDescent="0.25">
      <c r="A431" t="s">
        <v>783</v>
      </c>
      <c r="B431" t="s">
        <v>741</v>
      </c>
      <c r="C431" t="s">
        <v>18</v>
      </c>
      <c r="D431" t="s">
        <v>78</v>
      </c>
      <c r="E431" t="s">
        <v>79</v>
      </c>
      <c r="F431" t="s">
        <v>80</v>
      </c>
      <c r="G431" t="s">
        <v>22</v>
      </c>
      <c r="H431" t="s">
        <v>34</v>
      </c>
      <c r="I431" t="s">
        <v>113</v>
      </c>
      <c r="J431" t="s">
        <v>36</v>
      </c>
      <c r="K431">
        <v>3</v>
      </c>
      <c r="L431">
        <v>160000</v>
      </c>
      <c r="M431">
        <v>109250</v>
      </c>
      <c r="N431">
        <v>0</v>
      </c>
      <c r="O431" t="s">
        <v>37</v>
      </c>
      <c r="P431" t="s">
        <v>27</v>
      </c>
    </row>
    <row r="432" spans="1:16" x14ac:dyDescent="0.25">
      <c r="A432" t="s">
        <v>784</v>
      </c>
      <c r="B432" t="s">
        <v>785</v>
      </c>
      <c r="C432" t="s">
        <v>18</v>
      </c>
      <c r="D432" t="s">
        <v>83</v>
      </c>
      <c r="E432" t="s">
        <v>84</v>
      </c>
      <c r="F432" t="s">
        <v>85</v>
      </c>
      <c r="G432" t="s">
        <v>33</v>
      </c>
      <c r="H432" t="s">
        <v>112</v>
      </c>
      <c r="I432" t="s">
        <v>45</v>
      </c>
      <c r="J432" t="s">
        <v>46</v>
      </c>
      <c r="K432">
        <v>1</v>
      </c>
      <c r="L432">
        <v>18500</v>
      </c>
      <c r="M432">
        <v>14500</v>
      </c>
      <c r="N432">
        <v>0</v>
      </c>
      <c r="O432" t="s">
        <v>57</v>
      </c>
      <c r="P432" t="s">
        <v>133</v>
      </c>
    </row>
    <row r="433" spans="1:16" x14ac:dyDescent="0.25">
      <c r="A433" t="s">
        <v>786</v>
      </c>
      <c r="B433" t="s">
        <v>540</v>
      </c>
      <c r="C433" t="s">
        <v>18</v>
      </c>
      <c r="D433" t="s">
        <v>131</v>
      </c>
      <c r="E433" t="s">
        <v>132</v>
      </c>
      <c r="F433" t="s">
        <v>80</v>
      </c>
      <c r="G433" t="s">
        <v>44</v>
      </c>
      <c r="H433" t="s">
        <v>23</v>
      </c>
      <c r="I433" t="s">
        <v>102</v>
      </c>
      <c r="J433" t="s">
        <v>25</v>
      </c>
      <c r="K433">
        <v>1</v>
      </c>
      <c r="L433">
        <v>46200</v>
      </c>
      <c r="M433">
        <v>26000</v>
      </c>
      <c r="N433">
        <v>0.15</v>
      </c>
      <c r="O433" t="s">
        <v>57</v>
      </c>
      <c r="P433" t="s">
        <v>72</v>
      </c>
    </row>
    <row r="434" spans="1:16" x14ac:dyDescent="0.25">
      <c r="A434" t="s">
        <v>787</v>
      </c>
      <c r="B434" t="s">
        <v>788</v>
      </c>
      <c r="C434" t="s">
        <v>18</v>
      </c>
      <c r="D434" t="s">
        <v>31</v>
      </c>
      <c r="E434" t="s">
        <v>32</v>
      </c>
      <c r="F434" t="s">
        <v>21</v>
      </c>
      <c r="G434" t="s">
        <v>62</v>
      </c>
      <c r="H434" t="s">
        <v>34</v>
      </c>
      <c r="I434" t="s">
        <v>113</v>
      </c>
      <c r="J434" t="s">
        <v>36</v>
      </c>
      <c r="K434">
        <v>6</v>
      </c>
      <c r="L434">
        <v>160000</v>
      </c>
      <c r="M434">
        <v>115000</v>
      </c>
      <c r="N434">
        <v>0.1</v>
      </c>
      <c r="O434" t="s">
        <v>148</v>
      </c>
      <c r="P434" t="s">
        <v>27</v>
      </c>
    </row>
    <row r="435" spans="1:16" x14ac:dyDescent="0.25">
      <c r="A435" t="s">
        <v>789</v>
      </c>
      <c r="B435" t="s">
        <v>790</v>
      </c>
      <c r="C435" t="s">
        <v>40</v>
      </c>
      <c r="D435" t="s">
        <v>19</v>
      </c>
      <c r="E435" t="s">
        <v>20</v>
      </c>
      <c r="F435" t="s">
        <v>21</v>
      </c>
      <c r="G435" t="s">
        <v>44</v>
      </c>
      <c r="H435" t="s">
        <v>23</v>
      </c>
      <c r="I435" t="s">
        <v>75</v>
      </c>
      <c r="J435" t="s">
        <v>36</v>
      </c>
      <c r="K435">
        <v>15</v>
      </c>
      <c r="L435">
        <v>198000</v>
      </c>
      <c r="M435">
        <v>136500</v>
      </c>
      <c r="N435">
        <v>0</v>
      </c>
      <c r="O435" t="s">
        <v>148</v>
      </c>
      <c r="P435" t="s">
        <v>72</v>
      </c>
    </row>
    <row r="436" spans="1:16" x14ac:dyDescent="0.25">
      <c r="A436" t="s">
        <v>791</v>
      </c>
      <c r="B436" t="s">
        <v>320</v>
      </c>
      <c r="C436" t="s">
        <v>40</v>
      </c>
      <c r="D436" t="s">
        <v>136</v>
      </c>
      <c r="E436" t="s">
        <v>137</v>
      </c>
      <c r="F436" t="s">
        <v>122</v>
      </c>
      <c r="G436" t="s">
        <v>62</v>
      </c>
      <c r="H436" t="s">
        <v>63</v>
      </c>
      <c r="I436" t="s">
        <v>102</v>
      </c>
      <c r="J436" t="s">
        <v>25</v>
      </c>
      <c r="K436">
        <v>1</v>
      </c>
      <c r="L436">
        <v>37800</v>
      </c>
      <c r="M436">
        <v>26000</v>
      </c>
      <c r="N436">
        <v>0.15</v>
      </c>
      <c r="O436" t="s">
        <v>64</v>
      </c>
      <c r="P436" t="s">
        <v>133</v>
      </c>
    </row>
    <row r="437" spans="1:16" x14ac:dyDescent="0.25">
      <c r="A437" t="s">
        <v>792</v>
      </c>
      <c r="B437" t="s">
        <v>793</v>
      </c>
      <c r="C437" t="s">
        <v>30</v>
      </c>
      <c r="D437" t="s">
        <v>60</v>
      </c>
      <c r="E437" t="s">
        <v>61</v>
      </c>
      <c r="F437" t="s">
        <v>43</v>
      </c>
      <c r="G437" t="s">
        <v>22</v>
      </c>
      <c r="H437" t="s">
        <v>23</v>
      </c>
      <c r="I437" t="s">
        <v>45</v>
      </c>
      <c r="J437" t="s">
        <v>46</v>
      </c>
      <c r="K437">
        <v>3</v>
      </c>
      <c r="L437">
        <v>18500</v>
      </c>
      <c r="M437">
        <v>13775</v>
      </c>
      <c r="N437">
        <v>0</v>
      </c>
      <c r="O437" t="s">
        <v>52</v>
      </c>
      <c r="P437" t="s">
        <v>72</v>
      </c>
    </row>
    <row r="438" spans="1:16" x14ac:dyDescent="0.25">
      <c r="A438" t="s">
        <v>794</v>
      </c>
      <c r="B438" t="s">
        <v>395</v>
      </c>
      <c r="C438" t="s">
        <v>30</v>
      </c>
      <c r="D438" t="s">
        <v>41</v>
      </c>
      <c r="E438" t="s">
        <v>42</v>
      </c>
      <c r="F438" t="s">
        <v>43</v>
      </c>
      <c r="G438" t="s">
        <v>33</v>
      </c>
      <c r="H438" t="s">
        <v>112</v>
      </c>
      <c r="I438" t="s">
        <v>93</v>
      </c>
      <c r="J438" t="s">
        <v>46</v>
      </c>
      <c r="K438">
        <v>2</v>
      </c>
      <c r="L438">
        <v>85500</v>
      </c>
      <c r="M438">
        <v>82000</v>
      </c>
      <c r="N438">
        <v>0.1</v>
      </c>
      <c r="O438" t="s">
        <v>37</v>
      </c>
      <c r="P438" t="s">
        <v>48</v>
      </c>
    </row>
    <row r="439" spans="1:16" x14ac:dyDescent="0.25">
      <c r="A439" t="s">
        <v>795</v>
      </c>
      <c r="B439" t="s">
        <v>612</v>
      </c>
      <c r="C439" t="s">
        <v>18</v>
      </c>
      <c r="D439" t="s">
        <v>88</v>
      </c>
      <c r="E439" t="s">
        <v>89</v>
      </c>
      <c r="F439" t="s">
        <v>43</v>
      </c>
      <c r="G439" t="s">
        <v>62</v>
      </c>
      <c r="H439" t="s">
        <v>96</v>
      </c>
      <c r="I439" t="s">
        <v>113</v>
      </c>
      <c r="J439" t="s">
        <v>36</v>
      </c>
      <c r="K439">
        <v>12</v>
      </c>
      <c r="L439">
        <v>160000</v>
      </c>
      <c r="M439">
        <v>120750</v>
      </c>
      <c r="N439">
        <v>0.1</v>
      </c>
      <c r="O439" t="s">
        <v>26</v>
      </c>
      <c r="P439" t="s">
        <v>72</v>
      </c>
    </row>
    <row r="440" spans="1:16" x14ac:dyDescent="0.25">
      <c r="A440" t="s">
        <v>796</v>
      </c>
      <c r="B440" t="s">
        <v>267</v>
      </c>
      <c r="C440" t="s">
        <v>30</v>
      </c>
      <c r="D440" t="s">
        <v>60</v>
      </c>
      <c r="E440" t="s">
        <v>61</v>
      </c>
      <c r="F440" t="s">
        <v>43</v>
      </c>
      <c r="G440" t="s">
        <v>22</v>
      </c>
      <c r="H440" t="s">
        <v>63</v>
      </c>
      <c r="I440" t="s">
        <v>24</v>
      </c>
      <c r="J440" t="s">
        <v>25</v>
      </c>
      <c r="K440">
        <v>5</v>
      </c>
      <c r="L440">
        <v>20900</v>
      </c>
      <c r="M440">
        <v>13000</v>
      </c>
      <c r="N440">
        <v>0.05</v>
      </c>
      <c r="O440" t="s">
        <v>64</v>
      </c>
      <c r="P440" t="s">
        <v>133</v>
      </c>
    </row>
    <row r="441" spans="1:16" x14ac:dyDescent="0.25">
      <c r="A441" t="s">
        <v>797</v>
      </c>
      <c r="B441" t="s">
        <v>746</v>
      </c>
      <c r="C441" t="s">
        <v>40</v>
      </c>
      <c r="D441" t="s">
        <v>19</v>
      </c>
      <c r="E441" t="s">
        <v>20</v>
      </c>
      <c r="F441" t="s">
        <v>21</v>
      </c>
      <c r="G441" t="s">
        <v>62</v>
      </c>
      <c r="H441" t="s">
        <v>63</v>
      </c>
      <c r="I441" t="s">
        <v>70</v>
      </c>
      <c r="J441" t="s">
        <v>71</v>
      </c>
      <c r="K441">
        <v>3</v>
      </c>
      <c r="L441">
        <v>99750</v>
      </c>
      <c r="M441">
        <v>62000</v>
      </c>
      <c r="N441">
        <v>0</v>
      </c>
      <c r="O441" t="s">
        <v>64</v>
      </c>
      <c r="P441" t="s">
        <v>48</v>
      </c>
    </row>
    <row r="442" spans="1:16" x14ac:dyDescent="0.25">
      <c r="A442" t="s">
        <v>798</v>
      </c>
      <c r="B442" t="s">
        <v>688</v>
      </c>
      <c r="C442" t="s">
        <v>30</v>
      </c>
      <c r="D442" t="s">
        <v>41</v>
      </c>
      <c r="E442" t="s">
        <v>42</v>
      </c>
      <c r="F442" t="s">
        <v>43</v>
      </c>
      <c r="G442" t="s">
        <v>44</v>
      </c>
      <c r="H442" t="s">
        <v>63</v>
      </c>
      <c r="I442" t="s">
        <v>45</v>
      </c>
      <c r="J442" t="s">
        <v>46</v>
      </c>
      <c r="K442">
        <v>2</v>
      </c>
      <c r="L442">
        <v>19425</v>
      </c>
      <c r="M442">
        <v>14500</v>
      </c>
      <c r="N442">
        <v>0.05</v>
      </c>
      <c r="O442" t="s">
        <v>64</v>
      </c>
      <c r="P442" t="s">
        <v>48</v>
      </c>
    </row>
    <row r="443" spans="1:16" x14ac:dyDescent="0.25">
      <c r="A443" t="s">
        <v>799</v>
      </c>
      <c r="B443" t="s">
        <v>143</v>
      </c>
      <c r="C443" t="s">
        <v>18</v>
      </c>
      <c r="D443" t="s">
        <v>60</v>
      </c>
      <c r="E443" t="s">
        <v>61</v>
      </c>
      <c r="F443" t="s">
        <v>43</v>
      </c>
      <c r="G443" t="s">
        <v>33</v>
      </c>
      <c r="H443" t="s">
        <v>23</v>
      </c>
      <c r="I443" t="s">
        <v>113</v>
      </c>
      <c r="J443" t="s">
        <v>36</v>
      </c>
      <c r="K443">
        <v>8</v>
      </c>
      <c r="L443">
        <v>176000</v>
      </c>
      <c r="M443">
        <v>115000</v>
      </c>
      <c r="N443">
        <v>0</v>
      </c>
      <c r="O443" t="s">
        <v>148</v>
      </c>
      <c r="P443" t="s">
        <v>48</v>
      </c>
    </row>
    <row r="444" spans="1:16" x14ac:dyDescent="0.25">
      <c r="A444" t="s">
        <v>800</v>
      </c>
      <c r="B444" t="s">
        <v>395</v>
      </c>
      <c r="C444" t="s">
        <v>40</v>
      </c>
      <c r="D444" t="s">
        <v>31</v>
      </c>
      <c r="E444" t="s">
        <v>32</v>
      </c>
      <c r="F444" t="s">
        <v>21</v>
      </c>
      <c r="G444" t="s">
        <v>44</v>
      </c>
      <c r="H444" t="s">
        <v>23</v>
      </c>
      <c r="I444" t="s">
        <v>93</v>
      </c>
      <c r="J444" t="s">
        <v>46</v>
      </c>
      <c r="K444">
        <v>8</v>
      </c>
      <c r="L444">
        <v>95000</v>
      </c>
      <c r="M444">
        <v>82000</v>
      </c>
      <c r="N444">
        <v>0.05</v>
      </c>
      <c r="O444" t="s">
        <v>57</v>
      </c>
      <c r="P444" t="s">
        <v>48</v>
      </c>
    </row>
    <row r="445" spans="1:16" x14ac:dyDescent="0.25">
      <c r="A445" t="s">
        <v>801</v>
      </c>
      <c r="B445" t="s">
        <v>39</v>
      </c>
      <c r="C445" t="s">
        <v>30</v>
      </c>
      <c r="D445" t="s">
        <v>60</v>
      </c>
      <c r="E445" t="s">
        <v>61</v>
      </c>
      <c r="F445" t="s">
        <v>43</v>
      </c>
      <c r="G445" t="s">
        <v>22</v>
      </c>
      <c r="H445" t="s">
        <v>23</v>
      </c>
      <c r="I445" t="s">
        <v>55</v>
      </c>
      <c r="J445" t="s">
        <v>56</v>
      </c>
      <c r="K445">
        <v>6</v>
      </c>
      <c r="L445">
        <v>45600</v>
      </c>
      <c r="M445">
        <v>28500</v>
      </c>
      <c r="N445">
        <v>0.1</v>
      </c>
      <c r="O445" t="s">
        <v>47</v>
      </c>
      <c r="P445" t="s">
        <v>72</v>
      </c>
    </row>
    <row r="446" spans="1:16" x14ac:dyDescent="0.25">
      <c r="A446" t="s">
        <v>802</v>
      </c>
      <c r="B446" t="s">
        <v>399</v>
      </c>
      <c r="C446" t="s">
        <v>40</v>
      </c>
      <c r="D446" t="s">
        <v>120</v>
      </c>
      <c r="E446" t="s">
        <v>121</v>
      </c>
      <c r="F446" t="s">
        <v>122</v>
      </c>
      <c r="G446" t="s">
        <v>22</v>
      </c>
      <c r="H446" t="s">
        <v>96</v>
      </c>
      <c r="I446" t="s">
        <v>55</v>
      </c>
      <c r="J446" t="s">
        <v>56</v>
      </c>
      <c r="K446">
        <v>6</v>
      </c>
      <c r="L446">
        <v>48000</v>
      </c>
      <c r="M446">
        <v>28500</v>
      </c>
      <c r="N446">
        <v>0.15</v>
      </c>
      <c r="O446" t="s">
        <v>64</v>
      </c>
      <c r="P446" t="s">
        <v>72</v>
      </c>
    </row>
    <row r="447" spans="1:16" x14ac:dyDescent="0.25">
      <c r="A447" t="s">
        <v>803</v>
      </c>
      <c r="B447" t="s">
        <v>684</v>
      </c>
      <c r="C447" t="s">
        <v>18</v>
      </c>
      <c r="D447" t="s">
        <v>131</v>
      </c>
      <c r="E447" t="s">
        <v>132</v>
      </c>
      <c r="F447" t="s">
        <v>80</v>
      </c>
      <c r="G447" t="s">
        <v>62</v>
      </c>
      <c r="H447" t="s">
        <v>112</v>
      </c>
      <c r="I447" t="s">
        <v>55</v>
      </c>
      <c r="J447" t="s">
        <v>56</v>
      </c>
      <c r="K447">
        <v>1</v>
      </c>
      <c r="L447">
        <v>48000</v>
      </c>
      <c r="M447">
        <v>30000</v>
      </c>
      <c r="N447">
        <v>0</v>
      </c>
      <c r="O447" t="s">
        <v>47</v>
      </c>
      <c r="P447" t="s">
        <v>48</v>
      </c>
    </row>
    <row r="448" spans="1:16" x14ac:dyDescent="0.25">
      <c r="A448" t="s">
        <v>804</v>
      </c>
      <c r="B448" t="s">
        <v>805</v>
      </c>
      <c r="C448" t="s">
        <v>40</v>
      </c>
      <c r="D448" t="s">
        <v>157</v>
      </c>
      <c r="E448" t="s">
        <v>158</v>
      </c>
      <c r="F448" t="s">
        <v>21</v>
      </c>
      <c r="G448" t="s">
        <v>62</v>
      </c>
      <c r="H448" t="s">
        <v>112</v>
      </c>
      <c r="I448" t="s">
        <v>105</v>
      </c>
      <c r="J448" t="s">
        <v>71</v>
      </c>
      <c r="K448">
        <v>3</v>
      </c>
      <c r="L448">
        <v>166250</v>
      </c>
      <c r="M448">
        <v>126000</v>
      </c>
      <c r="N448">
        <v>0.15</v>
      </c>
      <c r="O448" t="s">
        <v>90</v>
      </c>
      <c r="P448" t="s">
        <v>48</v>
      </c>
    </row>
    <row r="449" spans="1:16" x14ac:dyDescent="0.25">
      <c r="A449" t="s">
        <v>806</v>
      </c>
      <c r="B449" t="s">
        <v>503</v>
      </c>
      <c r="C449" t="s">
        <v>30</v>
      </c>
      <c r="D449" t="s">
        <v>157</v>
      </c>
      <c r="E449" t="s">
        <v>158</v>
      </c>
      <c r="F449" t="s">
        <v>21</v>
      </c>
      <c r="G449" t="s">
        <v>33</v>
      </c>
      <c r="H449" t="s">
        <v>112</v>
      </c>
      <c r="I449" t="s">
        <v>45</v>
      </c>
      <c r="J449" t="s">
        <v>46</v>
      </c>
      <c r="K449">
        <v>15</v>
      </c>
      <c r="L449">
        <v>19425</v>
      </c>
      <c r="M449">
        <v>14500</v>
      </c>
      <c r="N449">
        <v>0</v>
      </c>
      <c r="O449" t="s">
        <v>64</v>
      </c>
      <c r="P449" t="s">
        <v>48</v>
      </c>
    </row>
    <row r="450" spans="1:16" x14ac:dyDescent="0.25">
      <c r="A450" t="s">
        <v>807</v>
      </c>
      <c r="B450" t="s">
        <v>808</v>
      </c>
      <c r="C450" t="s">
        <v>18</v>
      </c>
      <c r="D450" t="s">
        <v>136</v>
      </c>
      <c r="E450" t="s">
        <v>137</v>
      </c>
      <c r="F450" t="s">
        <v>122</v>
      </c>
      <c r="G450" t="s">
        <v>62</v>
      </c>
      <c r="H450" t="s">
        <v>112</v>
      </c>
      <c r="I450" t="s">
        <v>75</v>
      </c>
      <c r="J450" t="s">
        <v>36</v>
      </c>
      <c r="K450">
        <v>1</v>
      </c>
      <c r="L450">
        <v>198000</v>
      </c>
      <c r="M450">
        <v>123500</v>
      </c>
      <c r="N450">
        <v>0</v>
      </c>
      <c r="O450" t="s">
        <v>57</v>
      </c>
      <c r="P450" t="s">
        <v>72</v>
      </c>
    </row>
    <row r="451" spans="1:16" x14ac:dyDescent="0.25">
      <c r="A451" t="s">
        <v>809</v>
      </c>
      <c r="B451" t="s">
        <v>810</v>
      </c>
      <c r="C451" t="s">
        <v>18</v>
      </c>
      <c r="D451" t="s">
        <v>78</v>
      </c>
      <c r="E451" t="s">
        <v>79</v>
      </c>
      <c r="F451" t="s">
        <v>80</v>
      </c>
      <c r="G451" t="s">
        <v>44</v>
      </c>
      <c r="H451" t="s">
        <v>63</v>
      </c>
      <c r="I451" t="s">
        <v>70</v>
      </c>
      <c r="J451" t="s">
        <v>71</v>
      </c>
      <c r="K451">
        <v>8</v>
      </c>
      <c r="L451">
        <v>85500</v>
      </c>
      <c r="M451">
        <v>65100</v>
      </c>
      <c r="N451">
        <v>0</v>
      </c>
      <c r="O451" t="s">
        <v>37</v>
      </c>
      <c r="P451" t="s">
        <v>48</v>
      </c>
    </row>
    <row r="452" spans="1:16" x14ac:dyDescent="0.25">
      <c r="A452" t="s">
        <v>811</v>
      </c>
      <c r="B452" t="s">
        <v>755</v>
      </c>
      <c r="C452" t="s">
        <v>30</v>
      </c>
      <c r="D452" t="s">
        <v>19</v>
      </c>
      <c r="E452" t="s">
        <v>20</v>
      </c>
      <c r="F452" t="s">
        <v>21</v>
      </c>
      <c r="G452" t="s">
        <v>62</v>
      </c>
      <c r="H452" t="s">
        <v>63</v>
      </c>
      <c r="I452" t="s">
        <v>24</v>
      </c>
      <c r="J452" t="s">
        <v>25</v>
      </c>
      <c r="K452">
        <v>3</v>
      </c>
      <c r="L452">
        <v>22000</v>
      </c>
      <c r="M452">
        <v>13000</v>
      </c>
      <c r="N452">
        <v>0</v>
      </c>
      <c r="O452" t="s">
        <v>148</v>
      </c>
      <c r="P452" t="s">
        <v>133</v>
      </c>
    </row>
    <row r="453" spans="1:16" x14ac:dyDescent="0.25">
      <c r="A453" t="s">
        <v>812</v>
      </c>
      <c r="B453" t="s">
        <v>395</v>
      </c>
      <c r="C453" t="s">
        <v>30</v>
      </c>
      <c r="D453" t="s">
        <v>19</v>
      </c>
      <c r="E453" t="s">
        <v>20</v>
      </c>
      <c r="F453" t="s">
        <v>21</v>
      </c>
      <c r="G453" t="s">
        <v>44</v>
      </c>
      <c r="H453" t="s">
        <v>63</v>
      </c>
      <c r="I453" t="s">
        <v>55</v>
      </c>
      <c r="J453" t="s">
        <v>56</v>
      </c>
      <c r="K453">
        <v>2</v>
      </c>
      <c r="L453">
        <v>50400</v>
      </c>
      <c r="M453">
        <v>30000</v>
      </c>
      <c r="N453">
        <v>0.1</v>
      </c>
      <c r="O453" t="s">
        <v>47</v>
      </c>
      <c r="P453" t="s">
        <v>27</v>
      </c>
    </row>
    <row r="454" spans="1:16" x14ac:dyDescent="0.25">
      <c r="A454" t="s">
        <v>813</v>
      </c>
      <c r="B454" t="s">
        <v>250</v>
      </c>
      <c r="C454" t="s">
        <v>40</v>
      </c>
      <c r="D454" t="s">
        <v>120</v>
      </c>
      <c r="E454" t="s">
        <v>121</v>
      </c>
      <c r="F454" t="s">
        <v>122</v>
      </c>
      <c r="G454" t="s">
        <v>33</v>
      </c>
      <c r="H454" t="s">
        <v>34</v>
      </c>
      <c r="I454" t="s">
        <v>105</v>
      </c>
      <c r="J454" t="s">
        <v>71</v>
      </c>
      <c r="K454">
        <v>3</v>
      </c>
      <c r="L454">
        <v>192500</v>
      </c>
      <c r="M454">
        <v>126000</v>
      </c>
      <c r="N454">
        <v>0</v>
      </c>
      <c r="O454" t="s">
        <v>90</v>
      </c>
      <c r="P454" t="s">
        <v>133</v>
      </c>
    </row>
    <row r="455" spans="1:16" x14ac:dyDescent="0.25">
      <c r="A455" t="s">
        <v>814</v>
      </c>
      <c r="B455" t="s">
        <v>785</v>
      </c>
      <c r="C455" t="s">
        <v>40</v>
      </c>
      <c r="D455" t="s">
        <v>88</v>
      </c>
      <c r="E455" t="s">
        <v>89</v>
      </c>
      <c r="F455" t="s">
        <v>43</v>
      </c>
      <c r="G455" t="s">
        <v>44</v>
      </c>
      <c r="H455" t="s">
        <v>63</v>
      </c>
      <c r="I455" t="s">
        <v>24</v>
      </c>
      <c r="J455" t="s">
        <v>25</v>
      </c>
      <c r="K455">
        <v>3</v>
      </c>
      <c r="L455">
        <v>22000</v>
      </c>
      <c r="M455">
        <v>13650</v>
      </c>
      <c r="N455">
        <v>0</v>
      </c>
      <c r="O455" t="s">
        <v>47</v>
      </c>
      <c r="P455" t="s">
        <v>48</v>
      </c>
    </row>
    <row r="456" spans="1:16" x14ac:dyDescent="0.25">
      <c r="A456" t="s">
        <v>815</v>
      </c>
      <c r="B456" t="s">
        <v>380</v>
      </c>
      <c r="C456" t="s">
        <v>30</v>
      </c>
      <c r="D456" t="s">
        <v>41</v>
      </c>
      <c r="E456" t="s">
        <v>42</v>
      </c>
      <c r="F456" t="s">
        <v>43</v>
      </c>
      <c r="G456" t="s">
        <v>33</v>
      </c>
      <c r="H456" t="s">
        <v>112</v>
      </c>
      <c r="I456" t="s">
        <v>24</v>
      </c>
      <c r="J456" t="s">
        <v>25</v>
      </c>
      <c r="K456">
        <v>5</v>
      </c>
      <c r="L456">
        <v>22000</v>
      </c>
      <c r="M456">
        <v>13650</v>
      </c>
      <c r="N456">
        <v>0</v>
      </c>
      <c r="O456" t="s">
        <v>90</v>
      </c>
      <c r="P456" t="s">
        <v>48</v>
      </c>
    </row>
    <row r="457" spans="1:16" x14ac:dyDescent="0.25">
      <c r="A457" t="s">
        <v>816</v>
      </c>
      <c r="B457" t="s">
        <v>817</v>
      </c>
      <c r="C457" t="s">
        <v>18</v>
      </c>
      <c r="D457" t="s">
        <v>31</v>
      </c>
      <c r="E457" t="s">
        <v>32</v>
      </c>
      <c r="F457" t="s">
        <v>21</v>
      </c>
      <c r="G457" t="s">
        <v>44</v>
      </c>
      <c r="H457" t="s">
        <v>34</v>
      </c>
      <c r="I457" t="s">
        <v>75</v>
      </c>
      <c r="J457" t="s">
        <v>36</v>
      </c>
      <c r="K457">
        <v>1</v>
      </c>
      <c r="L457">
        <v>171000</v>
      </c>
      <c r="M457">
        <v>130000</v>
      </c>
      <c r="N457">
        <v>0.15</v>
      </c>
      <c r="O457" t="s">
        <v>26</v>
      </c>
      <c r="P457" t="s">
        <v>27</v>
      </c>
    </row>
    <row r="458" spans="1:16" x14ac:dyDescent="0.25">
      <c r="A458" t="s">
        <v>818</v>
      </c>
      <c r="B458" t="s">
        <v>715</v>
      </c>
      <c r="C458" t="s">
        <v>18</v>
      </c>
      <c r="D458" t="s">
        <v>19</v>
      </c>
      <c r="E458" t="s">
        <v>20</v>
      </c>
      <c r="F458" t="s">
        <v>21</v>
      </c>
      <c r="G458" t="s">
        <v>22</v>
      </c>
      <c r="H458" t="s">
        <v>63</v>
      </c>
      <c r="I458" t="s">
        <v>51</v>
      </c>
      <c r="J458" t="s">
        <v>36</v>
      </c>
      <c r="K458">
        <v>1</v>
      </c>
      <c r="L458">
        <v>280000</v>
      </c>
      <c r="M458">
        <v>199500</v>
      </c>
      <c r="N458">
        <v>0</v>
      </c>
      <c r="O458" t="s">
        <v>90</v>
      </c>
      <c r="P458" t="s">
        <v>133</v>
      </c>
    </row>
    <row r="459" spans="1:16" x14ac:dyDescent="0.25">
      <c r="A459" t="s">
        <v>819</v>
      </c>
      <c r="B459" t="s">
        <v>195</v>
      </c>
      <c r="C459" t="s">
        <v>40</v>
      </c>
      <c r="D459" t="s">
        <v>120</v>
      </c>
      <c r="E459" t="s">
        <v>121</v>
      </c>
      <c r="F459" t="s">
        <v>122</v>
      </c>
      <c r="G459" t="s">
        <v>33</v>
      </c>
      <c r="H459" t="s">
        <v>34</v>
      </c>
      <c r="I459" t="s">
        <v>51</v>
      </c>
      <c r="J459" t="s">
        <v>36</v>
      </c>
      <c r="K459">
        <v>12</v>
      </c>
      <c r="L459">
        <v>280000</v>
      </c>
      <c r="M459">
        <v>210000</v>
      </c>
      <c r="N459">
        <v>0</v>
      </c>
      <c r="O459" t="s">
        <v>90</v>
      </c>
      <c r="P459" t="s">
        <v>27</v>
      </c>
    </row>
    <row r="460" spans="1:16" x14ac:dyDescent="0.25">
      <c r="A460" t="s">
        <v>820</v>
      </c>
      <c r="B460" t="s">
        <v>649</v>
      </c>
      <c r="C460" t="s">
        <v>30</v>
      </c>
      <c r="D460" t="s">
        <v>157</v>
      </c>
      <c r="E460" t="s">
        <v>158</v>
      </c>
      <c r="F460" t="s">
        <v>21</v>
      </c>
      <c r="G460" t="s">
        <v>62</v>
      </c>
      <c r="H460" t="s">
        <v>23</v>
      </c>
      <c r="I460" t="s">
        <v>93</v>
      </c>
      <c r="J460" t="s">
        <v>46</v>
      </c>
      <c r="K460">
        <v>1</v>
      </c>
      <c r="L460">
        <v>99750</v>
      </c>
      <c r="M460">
        <v>82000</v>
      </c>
      <c r="N460">
        <v>0</v>
      </c>
      <c r="O460" t="s">
        <v>37</v>
      </c>
      <c r="P460" t="s">
        <v>72</v>
      </c>
    </row>
    <row r="461" spans="1:16" x14ac:dyDescent="0.25">
      <c r="A461" t="s">
        <v>821</v>
      </c>
      <c r="B461" t="s">
        <v>59</v>
      </c>
      <c r="C461" t="s">
        <v>40</v>
      </c>
      <c r="D461" t="s">
        <v>136</v>
      </c>
      <c r="E461" t="s">
        <v>137</v>
      </c>
      <c r="F461" t="s">
        <v>122</v>
      </c>
      <c r="G461" t="s">
        <v>62</v>
      </c>
      <c r="H461" t="s">
        <v>63</v>
      </c>
      <c r="I461" t="s">
        <v>75</v>
      </c>
      <c r="J461" t="s">
        <v>36</v>
      </c>
      <c r="K461">
        <v>4</v>
      </c>
      <c r="L461">
        <v>180000</v>
      </c>
      <c r="M461">
        <v>136500</v>
      </c>
      <c r="N461">
        <v>0.15</v>
      </c>
      <c r="O461" t="s">
        <v>37</v>
      </c>
      <c r="P461" t="s">
        <v>133</v>
      </c>
    </row>
    <row r="462" spans="1:16" x14ac:dyDescent="0.25">
      <c r="A462" t="s">
        <v>822</v>
      </c>
      <c r="B462" t="s">
        <v>154</v>
      </c>
      <c r="C462" t="s">
        <v>18</v>
      </c>
      <c r="D462" t="s">
        <v>60</v>
      </c>
      <c r="E462" t="s">
        <v>61</v>
      </c>
      <c r="F462" t="s">
        <v>43</v>
      </c>
      <c r="G462" t="s">
        <v>62</v>
      </c>
      <c r="H462" t="s">
        <v>96</v>
      </c>
      <c r="I462" t="s">
        <v>93</v>
      </c>
      <c r="J462" t="s">
        <v>46</v>
      </c>
      <c r="K462">
        <v>6</v>
      </c>
      <c r="L462">
        <v>95000</v>
      </c>
      <c r="M462">
        <v>82000</v>
      </c>
      <c r="N462">
        <v>0</v>
      </c>
      <c r="O462" t="s">
        <v>148</v>
      </c>
      <c r="P462" t="s">
        <v>48</v>
      </c>
    </row>
    <row r="463" spans="1:16" x14ac:dyDescent="0.25">
      <c r="A463" t="s">
        <v>823</v>
      </c>
      <c r="B463" t="s">
        <v>387</v>
      </c>
      <c r="C463" t="s">
        <v>40</v>
      </c>
      <c r="D463" t="s">
        <v>157</v>
      </c>
      <c r="E463" t="s">
        <v>158</v>
      </c>
      <c r="F463" t="s">
        <v>21</v>
      </c>
      <c r="G463" t="s">
        <v>22</v>
      </c>
      <c r="H463" t="s">
        <v>112</v>
      </c>
      <c r="I463" t="s">
        <v>93</v>
      </c>
      <c r="J463" t="s">
        <v>46</v>
      </c>
      <c r="K463">
        <v>2</v>
      </c>
      <c r="L463">
        <v>95000</v>
      </c>
      <c r="M463">
        <v>77900</v>
      </c>
      <c r="N463">
        <v>0.15</v>
      </c>
      <c r="O463" t="s">
        <v>57</v>
      </c>
      <c r="P463" t="s">
        <v>72</v>
      </c>
    </row>
    <row r="464" spans="1:16" x14ac:dyDescent="0.25">
      <c r="A464" t="s">
        <v>824</v>
      </c>
      <c r="B464" t="s">
        <v>825</v>
      </c>
      <c r="C464" t="s">
        <v>40</v>
      </c>
      <c r="D464" t="s">
        <v>60</v>
      </c>
      <c r="E464" t="s">
        <v>61</v>
      </c>
      <c r="F464" t="s">
        <v>43</v>
      </c>
      <c r="G464" t="s">
        <v>33</v>
      </c>
      <c r="H464" t="s">
        <v>34</v>
      </c>
      <c r="I464" t="s">
        <v>45</v>
      </c>
      <c r="J464" t="s">
        <v>46</v>
      </c>
      <c r="K464">
        <v>6</v>
      </c>
      <c r="L464">
        <v>18500</v>
      </c>
      <c r="M464">
        <v>14500</v>
      </c>
      <c r="N464">
        <v>0</v>
      </c>
      <c r="O464" t="s">
        <v>90</v>
      </c>
      <c r="P464" t="s">
        <v>133</v>
      </c>
    </row>
    <row r="465" spans="1:16" x14ac:dyDescent="0.25">
      <c r="A465" t="s">
        <v>826</v>
      </c>
      <c r="B465" t="s">
        <v>764</v>
      </c>
      <c r="C465" t="s">
        <v>40</v>
      </c>
      <c r="D465" t="s">
        <v>136</v>
      </c>
      <c r="E465" t="s">
        <v>137</v>
      </c>
      <c r="F465" t="s">
        <v>122</v>
      </c>
      <c r="G465" t="s">
        <v>44</v>
      </c>
      <c r="H465" t="s">
        <v>23</v>
      </c>
      <c r="I465" t="s">
        <v>102</v>
      </c>
      <c r="J465" t="s">
        <v>25</v>
      </c>
      <c r="K465">
        <v>5</v>
      </c>
      <c r="L465">
        <v>46200</v>
      </c>
      <c r="M465">
        <v>27300</v>
      </c>
      <c r="N465">
        <v>0</v>
      </c>
      <c r="O465" t="s">
        <v>57</v>
      </c>
      <c r="P465" t="s">
        <v>48</v>
      </c>
    </row>
    <row r="466" spans="1:16" x14ac:dyDescent="0.25">
      <c r="A466" t="s">
        <v>827</v>
      </c>
      <c r="B466" t="s">
        <v>828</v>
      </c>
      <c r="C466" t="s">
        <v>18</v>
      </c>
      <c r="D466" t="s">
        <v>120</v>
      </c>
      <c r="E466" t="s">
        <v>121</v>
      </c>
      <c r="F466" t="s">
        <v>122</v>
      </c>
      <c r="G466" t="s">
        <v>44</v>
      </c>
      <c r="H466" t="s">
        <v>63</v>
      </c>
      <c r="I466" t="s">
        <v>70</v>
      </c>
      <c r="J466" t="s">
        <v>71</v>
      </c>
      <c r="K466">
        <v>6</v>
      </c>
      <c r="L466">
        <v>104500</v>
      </c>
      <c r="M466">
        <v>62000</v>
      </c>
      <c r="N466">
        <v>0.05</v>
      </c>
      <c r="O466" t="s">
        <v>52</v>
      </c>
      <c r="P466" t="s">
        <v>48</v>
      </c>
    </row>
    <row r="467" spans="1:16" x14ac:dyDescent="0.25">
      <c r="A467" t="s">
        <v>829</v>
      </c>
      <c r="B467" t="s">
        <v>248</v>
      </c>
      <c r="C467" t="s">
        <v>18</v>
      </c>
      <c r="D467" t="s">
        <v>110</v>
      </c>
      <c r="E467" t="s">
        <v>111</v>
      </c>
      <c r="F467" t="s">
        <v>85</v>
      </c>
      <c r="G467" t="s">
        <v>22</v>
      </c>
      <c r="H467" t="s">
        <v>23</v>
      </c>
      <c r="I467" t="s">
        <v>24</v>
      </c>
      <c r="J467" t="s">
        <v>25</v>
      </c>
      <c r="K467">
        <v>4</v>
      </c>
      <c r="L467">
        <v>22000</v>
      </c>
      <c r="M467">
        <v>13650</v>
      </c>
      <c r="N467">
        <v>0</v>
      </c>
      <c r="O467" t="s">
        <v>148</v>
      </c>
      <c r="P467" t="s">
        <v>48</v>
      </c>
    </row>
    <row r="468" spans="1:16" x14ac:dyDescent="0.25">
      <c r="A468" t="s">
        <v>830</v>
      </c>
      <c r="B468" t="s">
        <v>831</v>
      </c>
      <c r="C468" t="s">
        <v>18</v>
      </c>
      <c r="D468" t="s">
        <v>19</v>
      </c>
      <c r="E468" t="s">
        <v>20</v>
      </c>
      <c r="F468" t="s">
        <v>21</v>
      </c>
      <c r="G468" t="s">
        <v>44</v>
      </c>
      <c r="H468" t="s">
        <v>96</v>
      </c>
      <c r="I468" t="s">
        <v>75</v>
      </c>
      <c r="J468" t="s">
        <v>36</v>
      </c>
      <c r="K468">
        <v>2</v>
      </c>
      <c r="L468">
        <v>171000</v>
      </c>
      <c r="M468">
        <v>136500</v>
      </c>
      <c r="N468">
        <v>0.15</v>
      </c>
      <c r="O468" t="s">
        <v>37</v>
      </c>
      <c r="P468" t="s">
        <v>48</v>
      </c>
    </row>
    <row r="469" spans="1:16" x14ac:dyDescent="0.25">
      <c r="A469" t="s">
        <v>832</v>
      </c>
      <c r="B469" t="s">
        <v>370</v>
      </c>
      <c r="C469" t="s">
        <v>18</v>
      </c>
      <c r="D469" t="s">
        <v>88</v>
      </c>
      <c r="E469" t="s">
        <v>89</v>
      </c>
      <c r="F469" t="s">
        <v>43</v>
      </c>
      <c r="G469" t="s">
        <v>62</v>
      </c>
      <c r="H469" t="s">
        <v>96</v>
      </c>
      <c r="I469" t="s">
        <v>113</v>
      </c>
      <c r="J469" t="s">
        <v>36</v>
      </c>
      <c r="K469">
        <v>3</v>
      </c>
      <c r="L469">
        <v>176000</v>
      </c>
      <c r="M469">
        <v>120750</v>
      </c>
      <c r="N469">
        <v>0</v>
      </c>
      <c r="O469" t="s">
        <v>90</v>
      </c>
      <c r="P469" t="s">
        <v>27</v>
      </c>
    </row>
    <row r="470" spans="1:16" x14ac:dyDescent="0.25">
      <c r="A470" t="s">
        <v>833</v>
      </c>
      <c r="B470" t="s">
        <v>54</v>
      </c>
      <c r="C470" t="s">
        <v>40</v>
      </c>
      <c r="D470" t="s">
        <v>41</v>
      </c>
      <c r="E470" t="s">
        <v>42</v>
      </c>
      <c r="F470" t="s">
        <v>43</v>
      </c>
      <c r="G470" t="s">
        <v>22</v>
      </c>
      <c r="H470" t="s">
        <v>96</v>
      </c>
      <c r="I470" t="s">
        <v>35</v>
      </c>
      <c r="J470" t="s">
        <v>36</v>
      </c>
      <c r="K470">
        <v>6</v>
      </c>
      <c r="L470">
        <v>405000</v>
      </c>
      <c r="M470">
        <v>367500</v>
      </c>
      <c r="N470">
        <v>0</v>
      </c>
      <c r="O470" t="s">
        <v>64</v>
      </c>
      <c r="P470" t="s">
        <v>48</v>
      </c>
    </row>
    <row r="471" spans="1:16" x14ac:dyDescent="0.25">
      <c r="A471" t="s">
        <v>834</v>
      </c>
      <c r="B471" t="s">
        <v>300</v>
      </c>
      <c r="C471" t="s">
        <v>30</v>
      </c>
      <c r="D471" t="s">
        <v>110</v>
      </c>
      <c r="E471" t="s">
        <v>111</v>
      </c>
      <c r="F471" t="s">
        <v>85</v>
      </c>
      <c r="G471" t="s">
        <v>44</v>
      </c>
      <c r="H471" t="s">
        <v>112</v>
      </c>
      <c r="I471" t="s">
        <v>55</v>
      </c>
      <c r="J471" t="s">
        <v>56</v>
      </c>
      <c r="K471">
        <v>2</v>
      </c>
      <c r="L471">
        <v>43200</v>
      </c>
      <c r="M471">
        <v>30000</v>
      </c>
      <c r="N471">
        <v>0.05</v>
      </c>
      <c r="O471" t="s">
        <v>26</v>
      </c>
      <c r="P471" t="s">
        <v>133</v>
      </c>
    </row>
    <row r="472" spans="1:16" x14ac:dyDescent="0.25">
      <c r="A472" t="s">
        <v>835</v>
      </c>
      <c r="B472" t="s">
        <v>436</v>
      </c>
      <c r="C472" t="s">
        <v>18</v>
      </c>
      <c r="D472" t="s">
        <v>41</v>
      </c>
      <c r="E472" t="s">
        <v>42</v>
      </c>
      <c r="F472" t="s">
        <v>43</v>
      </c>
      <c r="G472" t="s">
        <v>62</v>
      </c>
      <c r="H472" t="s">
        <v>112</v>
      </c>
      <c r="I472" t="s">
        <v>24</v>
      </c>
      <c r="J472" t="s">
        <v>25</v>
      </c>
      <c r="K472">
        <v>12</v>
      </c>
      <c r="L472">
        <v>20900</v>
      </c>
      <c r="M472">
        <v>12350</v>
      </c>
      <c r="N472">
        <v>0.15</v>
      </c>
      <c r="O472" t="s">
        <v>57</v>
      </c>
      <c r="P472" t="s">
        <v>133</v>
      </c>
    </row>
    <row r="473" spans="1:16" x14ac:dyDescent="0.25">
      <c r="A473" t="s">
        <v>836</v>
      </c>
      <c r="B473" t="s">
        <v>283</v>
      </c>
      <c r="C473" t="s">
        <v>40</v>
      </c>
      <c r="D473" t="s">
        <v>88</v>
      </c>
      <c r="E473" t="s">
        <v>89</v>
      </c>
      <c r="F473" t="s">
        <v>43</v>
      </c>
      <c r="G473" t="s">
        <v>62</v>
      </c>
      <c r="H473" t="s">
        <v>96</v>
      </c>
      <c r="I473" t="s">
        <v>113</v>
      </c>
      <c r="J473" t="s">
        <v>36</v>
      </c>
      <c r="K473">
        <v>10</v>
      </c>
      <c r="L473">
        <v>176000</v>
      </c>
      <c r="M473">
        <v>115000</v>
      </c>
      <c r="N473">
        <v>0</v>
      </c>
      <c r="O473" t="s">
        <v>90</v>
      </c>
      <c r="P473" t="s">
        <v>27</v>
      </c>
    </row>
    <row r="474" spans="1:16" x14ac:dyDescent="0.25">
      <c r="A474" t="s">
        <v>837</v>
      </c>
      <c r="B474" t="s">
        <v>372</v>
      </c>
      <c r="C474" t="s">
        <v>30</v>
      </c>
      <c r="D474" t="s">
        <v>131</v>
      </c>
      <c r="E474" t="s">
        <v>132</v>
      </c>
      <c r="F474" t="s">
        <v>80</v>
      </c>
      <c r="G474" t="s">
        <v>33</v>
      </c>
      <c r="H474" t="s">
        <v>23</v>
      </c>
      <c r="I474" t="s">
        <v>70</v>
      </c>
      <c r="J474" t="s">
        <v>71</v>
      </c>
      <c r="K474">
        <v>1</v>
      </c>
      <c r="L474">
        <v>104500</v>
      </c>
      <c r="M474">
        <v>62000</v>
      </c>
      <c r="N474">
        <v>0</v>
      </c>
      <c r="O474" t="s">
        <v>90</v>
      </c>
      <c r="P474" t="s">
        <v>133</v>
      </c>
    </row>
    <row r="475" spans="1:16" x14ac:dyDescent="0.25">
      <c r="A475" t="s">
        <v>838</v>
      </c>
      <c r="B475" t="s">
        <v>733</v>
      </c>
      <c r="C475" t="s">
        <v>30</v>
      </c>
      <c r="D475" t="s">
        <v>19</v>
      </c>
      <c r="E475" t="s">
        <v>20</v>
      </c>
      <c r="F475" t="s">
        <v>21</v>
      </c>
      <c r="G475" t="s">
        <v>22</v>
      </c>
      <c r="H475" t="s">
        <v>96</v>
      </c>
      <c r="I475" t="s">
        <v>105</v>
      </c>
      <c r="J475" t="s">
        <v>71</v>
      </c>
      <c r="K475">
        <v>2</v>
      </c>
      <c r="L475">
        <v>175000</v>
      </c>
      <c r="M475">
        <v>114000</v>
      </c>
      <c r="N475">
        <v>0.15</v>
      </c>
      <c r="O475" t="s">
        <v>47</v>
      </c>
      <c r="P475" t="s">
        <v>48</v>
      </c>
    </row>
    <row r="476" spans="1:16" x14ac:dyDescent="0.25">
      <c r="A476" t="s">
        <v>839</v>
      </c>
      <c r="B476" t="s">
        <v>619</v>
      </c>
      <c r="C476" t="s">
        <v>40</v>
      </c>
      <c r="D476" t="s">
        <v>157</v>
      </c>
      <c r="E476" t="s">
        <v>158</v>
      </c>
      <c r="F476" t="s">
        <v>21</v>
      </c>
      <c r="G476" t="s">
        <v>62</v>
      </c>
      <c r="H476" t="s">
        <v>112</v>
      </c>
      <c r="I476" t="s">
        <v>24</v>
      </c>
      <c r="J476" t="s">
        <v>25</v>
      </c>
      <c r="K476">
        <v>5</v>
      </c>
      <c r="L476">
        <v>24200</v>
      </c>
      <c r="M476">
        <v>12350</v>
      </c>
      <c r="N476">
        <v>0</v>
      </c>
      <c r="O476" t="s">
        <v>64</v>
      </c>
      <c r="P476" t="s">
        <v>48</v>
      </c>
    </row>
    <row r="477" spans="1:16" x14ac:dyDescent="0.25">
      <c r="A477" t="s">
        <v>840</v>
      </c>
      <c r="B477" t="s">
        <v>692</v>
      </c>
      <c r="C477" t="s">
        <v>30</v>
      </c>
      <c r="D477" t="s">
        <v>136</v>
      </c>
      <c r="E477" t="s">
        <v>137</v>
      </c>
      <c r="F477" t="s">
        <v>122</v>
      </c>
      <c r="G477" t="s">
        <v>33</v>
      </c>
      <c r="H477" t="s">
        <v>23</v>
      </c>
      <c r="I477" t="s">
        <v>35</v>
      </c>
      <c r="J477" t="s">
        <v>36</v>
      </c>
      <c r="K477">
        <v>3</v>
      </c>
      <c r="L477">
        <v>472500</v>
      </c>
      <c r="M477">
        <v>350000</v>
      </c>
      <c r="N477">
        <v>0</v>
      </c>
      <c r="O477" t="s">
        <v>57</v>
      </c>
      <c r="P477" t="s">
        <v>72</v>
      </c>
    </row>
    <row r="478" spans="1:16" x14ac:dyDescent="0.25">
      <c r="A478" t="s">
        <v>841</v>
      </c>
      <c r="B478" t="s">
        <v>842</v>
      </c>
      <c r="C478" t="s">
        <v>30</v>
      </c>
      <c r="D478" t="s">
        <v>136</v>
      </c>
      <c r="E478" t="s">
        <v>137</v>
      </c>
      <c r="F478" t="s">
        <v>122</v>
      </c>
      <c r="G478" t="s">
        <v>33</v>
      </c>
      <c r="H478" t="s">
        <v>63</v>
      </c>
      <c r="I478" t="s">
        <v>93</v>
      </c>
      <c r="J478" t="s">
        <v>46</v>
      </c>
      <c r="K478">
        <v>3</v>
      </c>
      <c r="L478">
        <v>95000</v>
      </c>
      <c r="M478">
        <v>82000</v>
      </c>
      <c r="N478">
        <v>0.1</v>
      </c>
      <c r="O478" t="s">
        <v>90</v>
      </c>
      <c r="P478" t="s">
        <v>48</v>
      </c>
    </row>
    <row r="479" spans="1:16" x14ac:dyDescent="0.25">
      <c r="A479" t="s">
        <v>843</v>
      </c>
      <c r="B479" t="s">
        <v>275</v>
      </c>
      <c r="C479" t="s">
        <v>18</v>
      </c>
      <c r="D479" t="s">
        <v>78</v>
      </c>
      <c r="E479" t="s">
        <v>79</v>
      </c>
      <c r="F479" t="s">
        <v>80</v>
      </c>
      <c r="G479" t="s">
        <v>33</v>
      </c>
      <c r="H479" t="s">
        <v>34</v>
      </c>
      <c r="I479" t="s">
        <v>51</v>
      </c>
      <c r="J479" t="s">
        <v>36</v>
      </c>
      <c r="K479">
        <v>1</v>
      </c>
      <c r="L479">
        <v>280000</v>
      </c>
      <c r="M479">
        <v>210000</v>
      </c>
      <c r="N479">
        <v>0.1</v>
      </c>
      <c r="O479" t="s">
        <v>148</v>
      </c>
      <c r="P479" t="s">
        <v>72</v>
      </c>
    </row>
    <row r="480" spans="1:16" x14ac:dyDescent="0.25">
      <c r="A480" t="s">
        <v>844</v>
      </c>
      <c r="B480" t="s">
        <v>845</v>
      </c>
      <c r="C480" t="s">
        <v>30</v>
      </c>
      <c r="D480" t="s">
        <v>88</v>
      </c>
      <c r="E480" t="s">
        <v>89</v>
      </c>
      <c r="F480" t="s">
        <v>43</v>
      </c>
      <c r="G480" t="s">
        <v>33</v>
      </c>
      <c r="H480" t="s">
        <v>34</v>
      </c>
      <c r="I480" t="s">
        <v>45</v>
      </c>
      <c r="J480" t="s">
        <v>46</v>
      </c>
      <c r="K480">
        <v>6</v>
      </c>
      <c r="L480">
        <v>17575</v>
      </c>
      <c r="M480">
        <v>14500</v>
      </c>
      <c r="N480">
        <v>0.15</v>
      </c>
      <c r="O480" t="s">
        <v>37</v>
      </c>
      <c r="P480" t="s">
        <v>27</v>
      </c>
    </row>
    <row r="481" spans="1:16" x14ac:dyDescent="0.25">
      <c r="A481" t="s">
        <v>846</v>
      </c>
      <c r="B481" t="s">
        <v>248</v>
      </c>
      <c r="C481" t="s">
        <v>18</v>
      </c>
      <c r="D481" t="s">
        <v>157</v>
      </c>
      <c r="E481" t="s">
        <v>158</v>
      </c>
      <c r="F481" t="s">
        <v>21</v>
      </c>
      <c r="G481" t="s">
        <v>22</v>
      </c>
      <c r="H481" t="s">
        <v>96</v>
      </c>
      <c r="I481" t="s">
        <v>93</v>
      </c>
      <c r="J481" t="s">
        <v>46</v>
      </c>
      <c r="K481">
        <v>4</v>
      </c>
      <c r="L481">
        <v>95000</v>
      </c>
      <c r="M481">
        <v>86100</v>
      </c>
      <c r="N481">
        <v>0.15</v>
      </c>
      <c r="O481" t="s">
        <v>90</v>
      </c>
      <c r="P481" t="s">
        <v>48</v>
      </c>
    </row>
    <row r="482" spans="1:16" x14ac:dyDescent="0.25">
      <c r="A482" t="s">
        <v>847</v>
      </c>
      <c r="B482" t="s">
        <v>848</v>
      </c>
      <c r="C482" t="s">
        <v>30</v>
      </c>
      <c r="D482" t="s">
        <v>31</v>
      </c>
      <c r="E482" t="s">
        <v>32</v>
      </c>
      <c r="F482" t="s">
        <v>21</v>
      </c>
      <c r="G482" t="s">
        <v>33</v>
      </c>
      <c r="H482" t="s">
        <v>112</v>
      </c>
      <c r="I482" t="s">
        <v>75</v>
      </c>
      <c r="J482" t="s">
        <v>36</v>
      </c>
      <c r="K482">
        <v>2</v>
      </c>
      <c r="L482">
        <v>180000</v>
      </c>
      <c r="M482">
        <v>130000</v>
      </c>
      <c r="N482">
        <v>0</v>
      </c>
      <c r="O482" t="s">
        <v>57</v>
      </c>
      <c r="P482" t="s">
        <v>133</v>
      </c>
    </row>
    <row r="483" spans="1:16" x14ac:dyDescent="0.25">
      <c r="A483" t="s">
        <v>849</v>
      </c>
      <c r="B483" t="s">
        <v>286</v>
      </c>
      <c r="C483" t="s">
        <v>40</v>
      </c>
      <c r="D483" t="s">
        <v>88</v>
      </c>
      <c r="E483" t="s">
        <v>89</v>
      </c>
      <c r="F483" t="s">
        <v>43</v>
      </c>
      <c r="G483" t="s">
        <v>22</v>
      </c>
      <c r="H483" t="s">
        <v>112</v>
      </c>
      <c r="I483" t="s">
        <v>35</v>
      </c>
      <c r="J483" t="s">
        <v>36</v>
      </c>
      <c r="K483">
        <v>2</v>
      </c>
      <c r="L483">
        <v>472500</v>
      </c>
      <c r="M483">
        <v>332500</v>
      </c>
      <c r="N483">
        <v>0</v>
      </c>
      <c r="O483" t="s">
        <v>148</v>
      </c>
      <c r="P483" t="s">
        <v>27</v>
      </c>
    </row>
    <row r="484" spans="1:16" x14ac:dyDescent="0.25">
      <c r="A484" t="s">
        <v>850</v>
      </c>
      <c r="B484" t="s">
        <v>95</v>
      </c>
      <c r="C484" t="s">
        <v>40</v>
      </c>
      <c r="D484" t="s">
        <v>78</v>
      </c>
      <c r="E484" t="s">
        <v>79</v>
      </c>
      <c r="F484" t="s">
        <v>80</v>
      </c>
      <c r="G484" t="s">
        <v>22</v>
      </c>
      <c r="H484" t="s">
        <v>96</v>
      </c>
      <c r="I484" t="s">
        <v>105</v>
      </c>
      <c r="J484" t="s">
        <v>71</v>
      </c>
      <c r="K484">
        <v>6</v>
      </c>
      <c r="L484">
        <v>175000</v>
      </c>
      <c r="M484">
        <v>120000</v>
      </c>
      <c r="N484">
        <v>0.15</v>
      </c>
      <c r="O484" t="s">
        <v>57</v>
      </c>
      <c r="P484" t="s">
        <v>133</v>
      </c>
    </row>
    <row r="485" spans="1:16" x14ac:dyDescent="0.25">
      <c r="A485" t="s">
        <v>851</v>
      </c>
      <c r="B485" t="s">
        <v>852</v>
      </c>
      <c r="C485" t="s">
        <v>40</v>
      </c>
      <c r="D485" t="s">
        <v>60</v>
      </c>
      <c r="E485" t="s">
        <v>61</v>
      </c>
      <c r="F485" t="s">
        <v>43</v>
      </c>
      <c r="G485" t="s">
        <v>44</v>
      </c>
      <c r="H485" t="s">
        <v>34</v>
      </c>
      <c r="I485" t="s">
        <v>51</v>
      </c>
      <c r="J485" t="s">
        <v>36</v>
      </c>
      <c r="K485">
        <v>12</v>
      </c>
      <c r="L485">
        <v>252000</v>
      </c>
      <c r="M485">
        <v>199500</v>
      </c>
      <c r="N485">
        <v>0.15</v>
      </c>
      <c r="O485" t="s">
        <v>64</v>
      </c>
      <c r="P485" t="s">
        <v>133</v>
      </c>
    </row>
    <row r="486" spans="1:16" x14ac:dyDescent="0.25">
      <c r="A486" t="s">
        <v>853</v>
      </c>
      <c r="B486" t="s">
        <v>143</v>
      </c>
      <c r="C486" t="s">
        <v>30</v>
      </c>
      <c r="D486" t="s">
        <v>120</v>
      </c>
      <c r="E486" t="s">
        <v>121</v>
      </c>
      <c r="F486" t="s">
        <v>122</v>
      </c>
      <c r="G486" t="s">
        <v>62</v>
      </c>
      <c r="H486" t="s">
        <v>112</v>
      </c>
      <c r="I486" t="s">
        <v>45</v>
      </c>
      <c r="J486" t="s">
        <v>46</v>
      </c>
      <c r="K486">
        <v>12</v>
      </c>
      <c r="L486">
        <v>18500</v>
      </c>
      <c r="M486">
        <v>15225</v>
      </c>
      <c r="N486">
        <v>0.15</v>
      </c>
      <c r="O486" t="s">
        <v>26</v>
      </c>
      <c r="P486" t="s">
        <v>27</v>
      </c>
    </row>
    <row r="487" spans="1:16" x14ac:dyDescent="0.25">
      <c r="A487" t="s">
        <v>854</v>
      </c>
      <c r="B487" t="s">
        <v>443</v>
      </c>
      <c r="C487" t="s">
        <v>18</v>
      </c>
      <c r="D487" t="s">
        <v>157</v>
      </c>
      <c r="E487" t="s">
        <v>158</v>
      </c>
      <c r="F487" t="s">
        <v>21</v>
      </c>
      <c r="G487" t="s">
        <v>33</v>
      </c>
      <c r="H487" t="s">
        <v>63</v>
      </c>
      <c r="I487" t="s">
        <v>51</v>
      </c>
      <c r="J487" t="s">
        <v>36</v>
      </c>
      <c r="K487">
        <v>6</v>
      </c>
      <c r="L487">
        <v>280000</v>
      </c>
      <c r="M487">
        <v>220500</v>
      </c>
      <c r="N487">
        <v>0.1</v>
      </c>
      <c r="O487" t="s">
        <v>47</v>
      </c>
      <c r="P487" t="s">
        <v>27</v>
      </c>
    </row>
    <row r="488" spans="1:16" x14ac:dyDescent="0.25">
      <c r="A488" t="s">
        <v>855</v>
      </c>
      <c r="B488" t="s">
        <v>856</v>
      </c>
      <c r="C488" t="s">
        <v>18</v>
      </c>
      <c r="D488" t="s">
        <v>88</v>
      </c>
      <c r="E488" t="s">
        <v>89</v>
      </c>
      <c r="F488" t="s">
        <v>43</v>
      </c>
      <c r="G488" t="s">
        <v>44</v>
      </c>
      <c r="H488" t="s">
        <v>112</v>
      </c>
      <c r="I488" t="s">
        <v>93</v>
      </c>
      <c r="J488" t="s">
        <v>46</v>
      </c>
      <c r="K488">
        <v>8</v>
      </c>
      <c r="L488">
        <v>95000</v>
      </c>
      <c r="M488">
        <v>86100</v>
      </c>
      <c r="N488">
        <v>0.15</v>
      </c>
      <c r="O488" t="s">
        <v>57</v>
      </c>
      <c r="P488" t="s">
        <v>133</v>
      </c>
    </row>
    <row r="489" spans="1:16" x14ac:dyDescent="0.25">
      <c r="A489" t="s">
        <v>857</v>
      </c>
      <c r="B489" t="s">
        <v>858</v>
      </c>
      <c r="C489" t="s">
        <v>30</v>
      </c>
      <c r="D489" t="s">
        <v>110</v>
      </c>
      <c r="E489" t="s">
        <v>111</v>
      </c>
      <c r="F489" t="s">
        <v>85</v>
      </c>
      <c r="G489" t="s">
        <v>22</v>
      </c>
      <c r="H489" t="s">
        <v>23</v>
      </c>
      <c r="I489" t="s">
        <v>105</v>
      </c>
      <c r="J489" t="s">
        <v>71</v>
      </c>
      <c r="K489">
        <v>3</v>
      </c>
      <c r="L489">
        <v>175000</v>
      </c>
      <c r="M489">
        <v>114000</v>
      </c>
      <c r="N489">
        <v>0.15</v>
      </c>
      <c r="O489" t="s">
        <v>90</v>
      </c>
      <c r="P489" t="s">
        <v>48</v>
      </c>
    </row>
    <row r="490" spans="1:16" x14ac:dyDescent="0.25">
      <c r="A490" t="s">
        <v>859</v>
      </c>
      <c r="B490" t="s">
        <v>456</v>
      </c>
      <c r="C490" t="s">
        <v>40</v>
      </c>
      <c r="D490" t="s">
        <v>31</v>
      </c>
      <c r="E490" t="s">
        <v>32</v>
      </c>
      <c r="F490" t="s">
        <v>21</v>
      </c>
      <c r="G490" t="s">
        <v>44</v>
      </c>
      <c r="H490" t="s">
        <v>96</v>
      </c>
      <c r="I490" t="s">
        <v>70</v>
      </c>
      <c r="J490" t="s">
        <v>71</v>
      </c>
      <c r="K490">
        <v>2</v>
      </c>
      <c r="L490">
        <v>90250</v>
      </c>
      <c r="M490">
        <v>62000</v>
      </c>
      <c r="N490">
        <v>0</v>
      </c>
      <c r="O490" t="s">
        <v>148</v>
      </c>
      <c r="P490" t="s">
        <v>27</v>
      </c>
    </row>
    <row r="491" spans="1:16" x14ac:dyDescent="0.25">
      <c r="A491" t="s">
        <v>860</v>
      </c>
      <c r="B491" t="s">
        <v>861</v>
      </c>
      <c r="C491" t="s">
        <v>40</v>
      </c>
      <c r="D491" t="s">
        <v>88</v>
      </c>
      <c r="E491" t="s">
        <v>89</v>
      </c>
      <c r="F491" t="s">
        <v>43</v>
      </c>
      <c r="G491" t="s">
        <v>62</v>
      </c>
      <c r="H491" t="s">
        <v>96</v>
      </c>
      <c r="I491" t="s">
        <v>97</v>
      </c>
      <c r="J491" t="s">
        <v>56</v>
      </c>
      <c r="K491">
        <v>1</v>
      </c>
      <c r="L491">
        <v>125000</v>
      </c>
      <c r="M491">
        <v>85000</v>
      </c>
      <c r="N491">
        <v>0.1</v>
      </c>
      <c r="O491" t="s">
        <v>26</v>
      </c>
      <c r="P491" t="s">
        <v>48</v>
      </c>
    </row>
    <row r="492" spans="1:16" x14ac:dyDescent="0.25">
      <c r="A492" t="s">
        <v>862</v>
      </c>
      <c r="B492" t="s">
        <v>426</v>
      </c>
      <c r="C492" t="s">
        <v>30</v>
      </c>
      <c r="D492" t="s">
        <v>60</v>
      </c>
      <c r="E492" t="s">
        <v>61</v>
      </c>
      <c r="F492" t="s">
        <v>43</v>
      </c>
      <c r="G492" t="s">
        <v>22</v>
      </c>
      <c r="H492" t="s">
        <v>23</v>
      </c>
      <c r="I492" t="s">
        <v>45</v>
      </c>
      <c r="J492" t="s">
        <v>46</v>
      </c>
      <c r="K492">
        <v>5</v>
      </c>
      <c r="L492">
        <v>19425</v>
      </c>
      <c r="M492">
        <v>14500</v>
      </c>
      <c r="N492">
        <v>0.05</v>
      </c>
      <c r="O492" t="s">
        <v>57</v>
      </c>
      <c r="P492" t="s">
        <v>72</v>
      </c>
    </row>
    <row r="493" spans="1:16" x14ac:dyDescent="0.25">
      <c r="A493" t="s">
        <v>863</v>
      </c>
      <c r="B493" t="s">
        <v>577</v>
      </c>
      <c r="C493" t="s">
        <v>40</v>
      </c>
      <c r="D493" t="s">
        <v>136</v>
      </c>
      <c r="E493" t="s">
        <v>137</v>
      </c>
      <c r="F493" t="s">
        <v>122</v>
      </c>
      <c r="G493" t="s">
        <v>33</v>
      </c>
      <c r="H493" t="s">
        <v>96</v>
      </c>
      <c r="I493" t="s">
        <v>35</v>
      </c>
      <c r="J493" t="s">
        <v>36</v>
      </c>
      <c r="K493">
        <v>6</v>
      </c>
      <c r="L493">
        <v>450000</v>
      </c>
      <c r="M493">
        <v>332500</v>
      </c>
      <c r="N493">
        <v>0</v>
      </c>
      <c r="O493" t="s">
        <v>64</v>
      </c>
      <c r="P493" t="s">
        <v>48</v>
      </c>
    </row>
    <row r="494" spans="1:16" x14ac:dyDescent="0.25">
      <c r="A494" t="s">
        <v>864</v>
      </c>
      <c r="B494" t="s">
        <v>213</v>
      </c>
      <c r="C494" t="s">
        <v>18</v>
      </c>
      <c r="D494" t="s">
        <v>120</v>
      </c>
      <c r="E494" t="s">
        <v>121</v>
      </c>
      <c r="F494" t="s">
        <v>122</v>
      </c>
      <c r="G494" t="s">
        <v>62</v>
      </c>
      <c r="H494" t="s">
        <v>23</v>
      </c>
      <c r="I494" t="s">
        <v>102</v>
      </c>
      <c r="J494" t="s">
        <v>25</v>
      </c>
      <c r="K494">
        <v>8</v>
      </c>
      <c r="L494">
        <v>37800</v>
      </c>
      <c r="M494">
        <v>27300</v>
      </c>
      <c r="N494">
        <v>0</v>
      </c>
      <c r="O494" t="s">
        <v>90</v>
      </c>
      <c r="P494" t="s">
        <v>133</v>
      </c>
    </row>
    <row r="495" spans="1:16" x14ac:dyDescent="0.25">
      <c r="A495" t="s">
        <v>865</v>
      </c>
      <c r="B495" t="s">
        <v>866</v>
      </c>
      <c r="C495" t="s">
        <v>30</v>
      </c>
      <c r="D495" t="s">
        <v>78</v>
      </c>
      <c r="E495" t="s">
        <v>79</v>
      </c>
      <c r="F495" t="s">
        <v>80</v>
      </c>
      <c r="G495" t="s">
        <v>22</v>
      </c>
      <c r="H495" t="s">
        <v>34</v>
      </c>
      <c r="I495" t="s">
        <v>105</v>
      </c>
      <c r="J495" t="s">
        <v>71</v>
      </c>
      <c r="K495">
        <v>5</v>
      </c>
      <c r="L495">
        <v>166250</v>
      </c>
      <c r="M495">
        <v>114000</v>
      </c>
      <c r="N495">
        <v>0.15</v>
      </c>
      <c r="O495" t="s">
        <v>26</v>
      </c>
      <c r="P495" t="s">
        <v>72</v>
      </c>
    </row>
    <row r="496" spans="1:16" x14ac:dyDescent="0.25">
      <c r="A496" t="s">
        <v>867</v>
      </c>
      <c r="B496" t="s">
        <v>365</v>
      </c>
      <c r="C496" t="s">
        <v>18</v>
      </c>
      <c r="D496" t="s">
        <v>83</v>
      </c>
      <c r="E496" t="s">
        <v>84</v>
      </c>
      <c r="F496" t="s">
        <v>85</v>
      </c>
      <c r="G496" t="s">
        <v>33</v>
      </c>
      <c r="H496" t="s">
        <v>63</v>
      </c>
      <c r="I496" t="s">
        <v>70</v>
      </c>
      <c r="J496" t="s">
        <v>71</v>
      </c>
      <c r="K496">
        <v>1</v>
      </c>
      <c r="L496">
        <v>95000</v>
      </c>
      <c r="M496">
        <v>58900</v>
      </c>
      <c r="N496">
        <v>0.05</v>
      </c>
      <c r="O496" t="s">
        <v>52</v>
      </c>
      <c r="P496" t="s">
        <v>27</v>
      </c>
    </row>
    <row r="497" spans="1:16" x14ac:dyDescent="0.25">
      <c r="A497" t="s">
        <v>868</v>
      </c>
      <c r="B497" t="s">
        <v>273</v>
      </c>
      <c r="C497" t="s">
        <v>18</v>
      </c>
      <c r="D497" t="s">
        <v>78</v>
      </c>
      <c r="E497" t="s">
        <v>79</v>
      </c>
      <c r="F497" t="s">
        <v>80</v>
      </c>
      <c r="G497" t="s">
        <v>33</v>
      </c>
      <c r="H497" t="s">
        <v>112</v>
      </c>
      <c r="I497" t="s">
        <v>55</v>
      </c>
      <c r="J497" t="s">
        <v>56</v>
      </c>
      <c r="K497">
        <v>3</v>
      </c>
      <c r="L497">
        <v>50400</v>
      </c>
      <c r="M497">
        <v>30000</v>
      </c>
      <c r="N497">
        <v>0</v>
      </c>
      <c r="O497" t="s">
        <v>64</v>
      </c>
      <c r="P497" t="s">
        <v>133</v>
      </c>
    </row>
    <row r="498" spans="1:16" x14ac:dyDescent="0.25">
      <c r="A498" t="s">
        <v>869</v>
      </c>
      <c r="B498" t="s">
        <v>104</v>
      </c>
      <c r="C498" t="s">
        <v>40</v>
      </c>
      <c r="D498" t="s">
        <v>131</v>
      </c>
      <c r="E498" t="s">
        <v>132</v>
      </c>
      <c r="F498" t="s">
        <v>80</v>
      </c>
      <c r="G498" t="s">
        <v>62</v>
      </c>
      <c r="H498" t="s">
        <v>23</v>
      </c>
      <c r="I498" t="s">
        <v>93</v>
      </c>
      <c r="J498" t="s">
        <v>46</v>
      </c>
      <c r="K498">
        <v>15</v>
      </c>
      <c r="L498">
        <v>95000</v>
      </c>
      <c r="M498">
        <v>82000</v>
      </c>
      <c r="N498">
        <v>0</v>
      </c>
      <c r="O498" t="s">
        <v>52</v>
      </c>
      <c r="P498" t="s">
        <v>48</v>
      </c>
    </row>
    <row r="499" spans="1:16" x14ac:dyDescent="0.25">
      <c r="A499" t="s">
        <v>870</v>
      </c>
      <c r="B499" t="s">
        <v>248</v>
      </c>
      <c r="C499" t="s">
        <v>30</v>
      </c>
      <c r="D499" t="s">
        <v>120</v>
      </c>
      <c r="E499" t="s">
        <v>121</v>
      </c>
      <c r="F499" t="s">
        <v>122</v>
      </c>
      <c r="G499" t="s">
        <v>22</v>
      </c>
      <c r="H499" t="s">
        <v>63</v>
      </c>
      <c r="I499" t="s">
        <v>51</v>
      </c>
      <c r="J499" t="s">
        <v>36</v>
      </c>
      <c r="K499">
        <v>3</v>
      </c>
      <c r="L499">
        <v>280000</v>
      </c>
      <c r="M499">
        <v>210000</v>
      </c>
      <c r="N499">
        <v>0</v>
      </c>
      <c r="O499" t="s">
        <v>90</v>
      </c>
      <c r="P499" t="s">
        <v>48</v>
      </c>
    </row>
    <row r="500" spans="1:16" x14ac:dyDescent="0.25">
      <c r="A500" t="s">
        <v>871</v>
      </c>
      <c r="B500" t="s">
        <v>244</v>
      </c>
      <c r="C500" t="s">
        <v>18</v>
      </c>
      <c r="D500" t="s">
        <v>131</v>
      </c>
      <c r="E500" t="s">
        <v>132</v>
      </c>
      <c r="F500" t="s">
        <v>80</v>
      </c>
      <c r="G500" t="s">
        <v>44</v>
      </c>
      <c r="H500" t="s">
        <v>34</v>
      </c>
      <c r="I500" t="s">
        <v>105</v>
      </c>
      <c r="J500" t="s">
        <v>71</v>
      </c>
      <c r="K500">
        <v>8</v>
      </c>
      <c r="L500">
        <v>192500</v>
      </c>
      <c r="M500">
        <v>126000</v>
      </c>
      <c r="N500">
        <v>0.1</v>
      </c>
      <c r="O500" t="s">
        <v>47</v>
      </c>
      <c r="P500" t="s">
        <v>72</v>
      </c>
    </row>
    <row r="501" spans="1:16" x14ac:dyDescent="0.25">
      <c r="A501" t="s">
        <v>872</v>
      </c>
      <c r="B501" t="s">
        <v>873</v>
      </c>
      <c r="C501" t="s">
        <v>40</v>
      </c>
      <c r="D501" t="s">
        <v>136</v>
      </c>
      <c r="E501" t="s">
        <v>137</v>
      </c>
      <c r="F501" t="s">
        <v>122</v>
      </c>
      <c r="G501" t="s">
        <v>22</v>
      </c>
      <c r="H501" t="s">
        <v>63</v>
      </c>
      <c r="I501" t="s">
        <v>75</v>
      </c>
      <c r="J501" t="s">
        <v>36</v>
      </c>
      <c r="K501">
        <v>8</v>
      </c>
      <c r="L501">
        <v>162000</v>
      </c>
      <c r="M501">
        <v>123500</v>
      </c>
      <c r="N501">
        <v>0</v>
      </c>
      <c r="O501" t="s">
        <v>52</v>
      </c>
      <c r="P501" t="s">
        <v>48</v>
      </c>
    </row>
    <row r="502" spans="1:16" x14ac:dyDescent="0.25">
      <c r="A502" t="s">
        <v>874</v>
      </c>
      <c r="B502" t="s">
        <v>139</v>
      </c>
      <c r="C502" t="s">
        <v>18</v>
      </c>
      <c r="D502" t="s">
        <v>110</v>
      </c>
      <c r="E502" t="s">
        <v>111</v>
      </c>
      <c r="F502" t="s">
        <v>85</v>
      </c>
      <c r="G502" t="s">
        <v>62</v>
      </c>
      <c r="H502" t="s">
        <v>23</v>
      </c>
      <c r="I502" t="s">
        <v>70</v>
      </c>
      <c r="J502" t="s">
        <v>71</v>
      </c>
      <c r="K502">
        <v>3</v>
      </c>
      <c r="L502">
        <v>95000</v>
      </c>
      <c r="M502">
        <v>62000</v>
      </c>
      <c r="N502">
        <v>0.15</v>
      </c>
      <c r="O502" t="s">
        <v>37</v>
      </c>
      <c r="P502" t="s">
        <v>48</v>
      </c>
    </row>
    <row r="503" spans="1:16" x14ac:dyDescent="0.25">
      <c r="A503" t="s">
        <v>875</v>
      </c>
      <c r="B503" t="s">
        <v>130</v>
      </c>
      <c r="C503" t="s">
        <v>30</v>
      </c>
      <c r="D503" t="s">
        <v>136</v>
      </c>
      <c r="E503" t="s">
        <v>137</v>
      </c>
      <c r="F503" t="s">
        <v>122</v>
      </c>
      <c r="G503" t="s">
        <v>22</v>
      </c>
      <c r="H503" t="s">
        <v>63</v>
      </c>
      <c r="I503" t="s">
        <v>45</v>
      </c>
      <c r="J503" t="s">
        <v>46</v>
      </c>
      <c r="K503">
        <v>15</v>
      </c>
      <c r="L503">
        <v>19425</v>
      </c>
      <c r="M503">
        <v>13775</v>
      </c>
      <c r="N503">
        <v>0.05</v>
      </c>
      <c r="O503" t="s">
        <v>90</v>
      </c>
      <c r="P503" t="s">
        <v>27</v>
      </c>
    </row>
    <row r="504" spans="1:16" x14ac:dyDescent="0.25">
      <c r="A504" t="s">
        <v>876</v>
      </c>
      <c r="B504" t="s">
        <v>638</v>
      </c>
      <c r="C504" t="s">
        <v>18</v>
      </c>
      <c r="D504" t="s">
        <v>41</v>
      </c>
      <c r="E504" t="s">
        <v>42</v>
      </c>
      <c r="F504" t="s">
        <v>43</v>
      </c>
      <c r="G504" t="s">
        <v>22</v>
      </c>
      <c r="H504" t="s">
        <v>112</v>
      </c>
      <c r="I504" t="s">
        <v>35</v>
      </c>
      <c r="J504" t="s">
        <v>36</v>
      </c>
      <c r="K504">
        <v>2</v>
      </c>
      <c r="L504">
        <v>472500</v>
      </c>
      <c r="M504">
        <v>350000</v>
      </c>
      <c r="N504">
        <v>0</v>
      </c>
      <c r="O504" t="s">
        <v>57</v>
      </c>
      <c r="P504" t="s">
        <v>27</v>
      </c>
    </row>
    <row r="505" spans="1:16" x14ac:dyDescent="0.25">
      <c r="A505" t="s">
        <v>877</v>
      </c>
      <c r="B505" t="s">
        <v>718</v>
      </c>
      <c r="C505" t="s">
        <v>18</v>
      </c>
      <c r="D505" t="s">
        <v>120</v>
      </c>
      <c r="E505" t="s">
        <v>121</v>
      </c>
      <c r="F505" t="s">
        <v>122</v>
      </c>
      <c r="G505" t="s">
        <v>33</v>
      </c>
      <c r="H505" t="s">
        <v>23</v>
      </c>
      <c r="I505" t="s">
        <v>24</v>
      </c>
      <c r="J505" t="s">
        <v>25</v>
      </c>
      <c r="K505">
        <v>3</v>
      </c>
      <c r="L505">
        <v>19800</v>
      </c>
      <c r="M505">
        <v>12350</v>
      </c>
      <c r="N505">
        <v>0</v>
      </c>
      <c r="O505" t="s">
        <v>52</v>
      </c>
      <c r="P505" t="s">
        <v>72</v>
      </c>
    </row>
    <row r="506" spans="1:16" x14ac:dyDescent="0.25">
      <c r="A506" t="s">
        <v>878</v>
      </c>
      <c r="B506" t="s">
        <v>29</v>
      </c>
      <c r="C506" t="s">
        <v>40</v>
      </c>
      <c r="D506" t="s">
        <v>110</v>
      </c>
      <c r="E506" t="s">
        <v>111</v>
      </c>
      <c r="F506" t="s">
        <v>85</v>
      </c>
      <c r="G506" t="s">
        <v>22</v>
      </c>
      <c r="H506" t="s">
        <v>96</v>
      </c>
      <c r="I506" t="s">
        <v>105</v>
      </c>
      <c r="J506" t="s">
        <v>71</v>
      </c>
      <c r="K506">
        <v>8</v>
      </c>
      <c r="L506">
        <v>175000</v>
      </c>
      <c r="M506">
        <v>114000</v>
      </c>
      <c r="N506">
        <v>0</v>
      </c>
      <c r="O506" t="s">
        <v>64</v>
      </c>
      <c r="P506" t="s">
        <v>133</v>
      </c>
    </row>
    <row r="507" spans="1:16" x14ac:dyDescent="0.25">
      <c r="A507" t="s">
        <v>879</v>
      </c>
      <c r="B507" t="s">
        <v>389</v>
      </c>
      <c r="C507" t="s">
        <v>40</v>
      </c>
      <c r="D507" t="s">
        <v>41</v>
      </c>
      <c r="E507" t="s">
        <v>42</v>
      </c>
      <c r="F507" t="s">
        <v>43</v>
      </c>
      <c r="G507" t="s">
        <v>62</v>
      </c>
      <c r="H507" t="s">
        <v>63</v>
      </c>
      <c r="I507" t="s">
        <v>93</v>
      </c>
      <c r="J507" t="s">
        <v>46</v>
      </c>
      <c r="K507">
        <v>2</v>
      </c>
      <c r="L507">
        <v>95000</v>
      </c>
      <c r="M507">
        <v>82000</v>
      </c>
      <c r="N507">
        <v>0</v>
      </c>
      <c r="O507" t="s">
        <v>64</v>
      </c>
      <c r="P507" t="s">
        <v>27</v>
      </c>
    </row>
    <row r="508" spans="1:16" x14ac:dyDescent="0.25">
      <c r="A508" t="s">
        <v>880</v>
      </c>
      <c r="B508" t="s">
        <v>603</v>
      </c>
      <c r="C508" t="s">
        <v>40</v>
      </c>
      <c r="D508" t="s">
        <v>41</v>
      </c>
      <c r="E508" t="s">
        <v>42</v>
      </c>
      <c r="F508" t="s">
        <v>43</v>
      </c>
      <c r="G508" t="s">
        <v>44</v>
      </c>
      <c r="H508" t="s">
        <v>34</v>
      </c>
      <c r="I508" t="s">
        <v>93</v>
      </c>
      <c r="J508" t="s">
        <v>46</v>
      </c>
      <c r="K508">
        <v>6</v>
      </c>
      <c r="L508">
        <v>99750</v>
      </c>
      <c r="M508">
        <v>82000</v>
      </c>
      <c r="N508">
        <v>0.05</v>
      </c>
      <c r="O508" t="s">
        <v>47</v>
      </c>
      <c r="P508" t="s">
        <v>133</v>
      </c>
    </row>
    <row r="509" spans="1:16" x14ac:dyDescent="0.25">
      <c r="A509" t="s">
        <v>881</v>
      </c>
      <c r="B509" t="s">
        <v>545</v>
      </c>
      <c r="C509" t="s">
        <v>30</v>
      </c>
      <c r="D509" t="s">
        <v>120</v>
      </c>
      <c r="E509" t="s">
        <v>121</v>
      </c>
      <c r="F509" t="s">
        <v>122</v>
      </c>
      <c r="G509" t="s">
        <v>44</v>
      </c>
      <c r="H509" t="s">
        <v>112</v>
      </c>
      <c r="I509" t="s">
        <v>55</v>
      </c>
      <c r="J509" t="s">
        <v>56</v>
      </c>
      <c r="K509">
        <v>1</v>
      </c>
      <c r="L509">
        <v>50400</v>
      </c>
      <c r="M509">
        <v>30000</v>
      </c>
      <c r="N509">
        <v>0.1</v>
      </c>
      <c r="O509" t="s">
        <v>64</v>
      </c>
      <c r="P509" t="s">
        <v>133</v>
      </c>
    </row>
    <row r="510" spans="1:16" x14ac:dyDescent="0.25">
      <c r="A510" t="s">
        <v>882</v>
      </c>
      <c r="B510" t="s">
        <v>883</v>
      </c>
      <c r="C510" t="s">
        <v>18</v>
      </c>
      <c r="D510" t="s">
        <v>157</v>
      </c>
      <c r="E510" t="s">
        <v>158</v>
      </c>
      <c r="F510" t="s">
        <v>21</v>
      </c>
      <c r="G510" t="s">
        <v>44</v>
      </c>
      <c r="H510" t="s">
        <v>23</v>
      </c>
      <c r="I510" t="s">
        <v>45</v>
      </c>
      <c r="J510" t="s">
        <v>46</v>
      </c>
      <c r="K510">
        <v>3</v>
      </c>
      <c r="L510">
        <v>18500</v>
      </c>
      <c r="M510">
        <v>14500</v>
      </c>
      <c r="N510">
        <v>0.05</v>
      </c>
      <c r="O510" t="s">
        <v>64</v>
      </c>
      <c r="P510" t="s">
        <v>48</v>
      </c>
    </row>
    <row r="511" spans="1:16" x14ac:dyDescent="0.25">
      <c r="A511" t="s">
        <v>884</v>
      </c>
      <c r="B511" t="s">
        <v>244</v>
      </c>
      <c r="C511" t="s">
        <v>30</v>
      </c>
      <c r="D511" t="s">
        <v>41</v>
      </c>
      <c r="E511" t="s">
        <v>42</v>
      </c>
      <c r="F511" t="s">
        <v>43</v>
      </c>
      <c r="G511" t="s">
        <v>44</v>
      </c>
      <c r="H511" t="s">
        <v>63</v>
      </c>
      <c r="I511" t="s">
        <v>75</v>
      </c>
      <c r="J511" t="s">
        <v>36</v>
      </c>
      <c r="K511">
        <v>5</v>
      </c>
      <c r="L511">
        <v>180000</v>
      </c>
      <c r="M511">
        <v>130000</v>
      </c>
      <c r="N511">
        <v>0.05</v>
      </c>
      <c r="O511" t="s">
        <v>52</v>
      </c>
      <c r="P511" t="s">
        <v>27</v>
      </c>
    </row>
    <row r="512" spans="1:16" x14ac:dyDescent="0.25">
      <c r="A512" t="s">
        <v>885</v>
      </c>
      <c r="B512" t="s">
        <v>244</v>
      </c>
      <c r="C512" t="s">
        <v>18</v>
      </c>
      <c r="D512" t="s">
        <v>78</v>
      </c>
      <c r="E512" t="s">
        <v>79</v>
      </c>
      <c r="F512" t="s">
        <v>80</v>
      </c>
      <c r="G512" t="s">
        <v>62</v>
      </c>
      <c r="H512" t="s">
        <v>112</v>
      </c>
      <c r="I512" t="s">
        <v>93</v>
      </c>
      <c r="J512" t="s">
        <v>46</v>
      </c>
      <c r="K512">
        <v>12</v>
      </c>
      <c r="L512">
        <v>85500</v>
      </c>
      <c r="M512">
        <v>82000</v>
      </c>
      <c r="N512">
        <v>0</v>
      </c>
      <c r="O512" t="s">
        <v>26</v>
      </c>
      <c r="P512" t="s">
        <v>27</v>
      </c>
    </row>
    <row r="513" spans="1:16" x14ac:dyDescent="0.25">
      <c r="A513" t="s">
        <v>886</v>
      </c>
      <c r="B513" t="s">
        <v>828</v>
      </c>
      <c r="C513" t="s">
        <v>18</v>
      </c>
      <c r="D513" t="s">
        <v>110</v>
      </c>
      <c r="E513" t="s">
        <v>111</v>
      </c>
      <c r="F513" t="s">
        <v>85</v>
      </c>
      <c r="G513" t="s">
        <v>44</v>
      </c>
      <c r="H513" t="s">
        <v>96</v>
      </c>
      <c r="I513" t="s">
        <v>70</v>
      </c>
      <c r="J513" t="s">
        <v>71</v>
      </c>
      <c r="K513">
        <v>6</v>
      </c>
      <c r="L513">
        <v>104500</v>
      </c>
      <c r="M513">
        <v>62000</v>
      </c>
      <c r="N513">
        <v>0</v>
      </c>
      <c r="O513" t="s">
        <v>57</v>
      </c>
      <c r="P513" t="s">
        <v>48</v>
      </c>
    </row>
    <row r="514" spans="1:16" x14ac:dyDescent="0.25">
      <c r="A514" t="s">
        <v>887</v>
      </c>
      <c r="B514" t="s">
        <v>680</v>
      </c>
      <c r="C514" t="s">
        <v>40</v>
      </c>
      <c r="D514" t="s">
        <v>131</v>
      </c>
      <c r="E514" t="s">
        <v>132</v>
      </c>
      <c r="F514" t="s">
        <v>80</v>
      </c>
      <c r="G514" t="s">
        <v>22</v>
      </c>
      <c r="H514" t="s">
        <v>112</v>
      </c>
      <c r="I514" t="s">
        <v>45</v>
      </c>
      <c r="J514" t="s">
        <v>46</v>
      </c>
      <c r="K514">
        <v>4</v>
      </c>
      <c r="L514">
        <v>18500</v>
      </c>
      <c r="M514">
        <v>14500</v>
      </c>
      <c r="N514">
        <v>0</v>
      </c>
      <c r="O514" t="s">
        <v>90</v>
      </c>
      <c r="P514" t="s">
        <v>48</v>
      </c>
    </row>
    <row r="515" spans="1:16" x14ac:dyDescent="0.25">
      <c r="A515" t="s">
        <v>888</v>
      </c>
      <c r="B515" t="s">
        <v>713</v>
      </c>
      <c r="C515" t="s">
        <v>40</v>
      </c>
      <c r="D515" t="s">
        <v>131</v>
      </c>
      <c r="E515" t="s">
        <v>132</v>
      </c>
      <c r="F515" t="s">
        <v>80</v>
      </c>
      <c r="G515" t="s">
        <v>44</v>
      </c>
      <c r="H515" t="s">
        <v>34</v>
      </c>
      <c r="I515" t="s">
        <v>93</v>
      </c>
      <c r="J515" t="s">
        <v>46</v>
      </c>
      <c r="K515">
        <v>3</v>
      </c>
      <c r="L515">
        <v>99750</v>
      </c>
      <c r="M515">
        <v>82000</v>
      </c>
      <c r="N515">
        <v>0</v>
      </c>
      <c r="O515" t="s">
        <v>64</v>
      </c>
      <c r="P515" t="s">
        <v>72</v>
      </c>
    </row>
    <row r="516" spans="1:16" x14ac:dyDescent="0.25">
      <c r="A516" t="s">
        <v>889</v>
      </c>
      <c r="B516" t="s">
        <v>278</v>
      </c>
      <c r="C516" t="s">
        <v>30</v>
      </c>
      <c r="D516" t="s">
        <v>31</v>
      </c>
      <c r="E516" t="s">
        <v>32</v>
      </c>
      <c r="F516" t="s">
        <v>21</v>
      </c>
      <c r="G516" t="s">
        <v>44</v>
      </c>
      <c r="H516" t="s">
        <v>34</v>
      </c>
      <c r="I516" t="s">
        <v>113</v>
      </c>
      <c r="J516" t="s">
        <v>36</v>
      </c>
      <c r="K516">
        <v>3</v>
      </c>
      <c r="L516">
        <v>144000</v>
      </c>
      <c r="M516">
        <v>115000</v>
      </c>
      <c r="N516">
        <v>0.05</v>
      </c>
      <c r="O516" t="s">
        <v>52</v>
      </c>
      <c r="P516" t="s">
        <v>27</v>
      </c>
    </row>
    <row r="517" spans="1:16" x14ac:dyDescent="0.25">
      <c r="A517" t="s">
        <v>890</v>
      </c>
      <c r="B517" t="s">
        <v>195</v>
      </c>
      <c r="C517" t="s">
        <v>40</v>
      </c>
      <c r="D517" t="s">
        <v>110</v>
      </c>
      <c r="E517" t="s">
        <v>111</v>
      </c>
      <c r="F517" t="s">
        <v>85</v>
      </c>
      <c r="G517" t="s">
        <v>22</v>
      </c>
      <c r="H517" t="s">
        <v>23</v>
      </c>
      <c r="I517" t="s">
        <v>75</v>
      </c>
      <c r="J517" t="s">
        <v>36</v>
      </c>
      <c r="K517">
        <v>8</v>
      </c>
      <c r="L517">
        <v>180000</v>
      </c>
      <c r="M517">
        <v>130000</v>
      </c>
      <c r="N517">
        <v>0.05</v>
      </c>
      <c r="O517" t="s">
        <v>26</v>
      </c>
      <c r="P517" t="s">
        <v>72</v>
      </c>
    </row>
    <row r="518" spans="1:16" x14ac:dyDescent="0.25">
      <c r="A518" t="s">
        <v>891</v>
      </c>
      <c r="B518" t="s">
        <v>594</v>
      </c>
      <c r="C518" t="s">
        <v>40</v>
      </c>
      <c r="D518" t="s">
        <v>88</v>
      </c>
      <c r="E518" t="s">
        <v>89</v>
      </c>
      <c r="F518" t="s">
        <v>43</v>
      </c>
      <c r="G518" t="s">
        <v>22</v>
      </c>
      <c r="H518" t="s">
        <v>34</v>
      </c>
      <c r="I518" t="s">
        <v>102</v>
      </c>
      <c r="J518" t="s">
        <v>25</v>
      </c>
      <c r="K518">
        <v>3</v>
      </c>
      <c r="L518">
        <v>44100</v>
      </c>
      <c r="M518">
        <v>24700</v>
      </c>
      <c r="N518">
        <v>0.1</v>
      </c>
      <c r="O518" t="s">
        <v>26</v>
      </c>
      <c r="P518" t="s">
        <v>72</v>
      </c>
    </row>
    <row r="519" spans="1:16" x14ac:dyDescent="0.25">
      <c r="A519" t="s">
        <v>892</v>
      </c>
      <c r="B519" t="s">
        <v>893</v>
      </c>
      <c r="C519" t="s">
        <v>40</v>
      </c>
      <c r="D519" t="s">
        <v>31</v>
      </c>
      <c r="E519" t="s">
        <v>32</v>
      </c>
      <c r="F519" t="s">
        <v>21</v>
      </c>
      <c r="G519" t="s">
        <v>62</v>
      </c>
      <c r="H519" t="s">
        <v>63</v>
      </c>
      <c r="I519" t="s">
        <v>102</v>
      </c>
      <c r="J519" t="s">
        <v>25</v>
      </c>
      <c r="K519">
        <v>4</v>
      </c>
      <c r="L519">
        <v>42000</v>
      </c>
      <c r="M519">
        <v>24700</v>
      </c>
      <c r="N519">
        <v>0</v>
      </c>
      <c r="O519" t="s">
        <v>37</v>
      </c>
      <c r="P519" t="s">
        <v>72</v>
      </c>
    </row>
    <row r="520" spans="1:16" x14ac:dyDescent="0.25">
      <c r="A520" t="s">
        <v>894</v>
      </c>
      <c r="B520" t="s">
        <v>328</v>
      </c>
      <c r="C520" t="s">
        <v>18</v>
      </c>
      <c r="D520" t="s">
        <v>83</v>
      </c>
      <c r="E520" t="s">
        <v>84</v>
      </c>
      <c r="F520" t="s">
        <v>85</v>
      </c>
      <c r="G520" t="s">
        <v>22</v>
      </c>
      <c r="H520" t="s">
        <v>34</v>
      </c>
      <c r="I520" t="s">
        <v>75</v>
      </c>
      <c r="J520" t="s">
        <v>36</v>
      </c>
      <c r="K520">
        <v>2</v>
      </c>
      <c r="L520">
        <v>162000</v>
      </c>
      <c r="M520">
        <v>130000</v>
      </c>
      <c r="N520">
        <v>0.05</v>
      </c>
      <c r="O520" t="s">
        <v>90</v>
      </c>
      <c r="P520" t="s">
        <v>72</v>
      </c>
    </row>
    <row r="521" spans="1:16" x14ac:dyDescent="0.25">
      <c r="A521" t="s">
        <v>895</v>
      </c>
      <c r="B521" t="s">
        <v>896</v>
      </c>
      <c r="C521" t="s">
        <v>18</v>
      </c>
      <c r="D521" t="s">
        <v>83</v>
      </c>
      <c r="E521" t="s">
        <v>84</v>
      </c>
      <c r="F521" t="s">
        <v>85</v>
      </c>
      <c r="G521" t="s">
        <v>33</v>
      </c>
      <c r="H521" t="s">
        <v>96</v>
      </c>
      <c r="I521" t="s">
        <v>55</v>
      </c>
      <c r="J521" t="s">
        <v>56</v>
      </c>
      <c r="K521">
        <v>2</v>
      </c>
      <c r="L521">
        <v>43200</v>
      </c>
      <c r="M521">
        <v>30000</v>
      </c>
      <c r="N521">
        <v>0.05</v>
      </c>
      <c r="O521" t="s">
        <v>57</v>
      </c>
      <c r="P521" t="s">
        <v>27</v>
      </c>
    </row>
    <row r="522" spans="1:16" x14ac:dyDescent="0.25">
      <c r="A522" t="s">
        <v>897</v>
      </c>
      <c r="B522" t="s">
        <v>898</v>
      </c>
      <c r="C522" t="s">
        <v>18</v>
      </c>
      <c r="D522" t="s">
        <v>136</v>
      </c>
      <c r="E522" t="s">
        <v>137</v>
      </c>
      <c r="F522" t="s">
        <v>122</v>
      </c>
      <c r="G522" t="s">
        <v>33</v>
      </c>
      <c r="H522" t="s">
        <v>63</v>
      </c>
      <c r="I522" t="s">
        <v>105</v>
      </c>
      <c r="J522" t="s">
        <v>71</v>
      </c>
      <c r="K522">
        <v>5</v>
      </c>
      <c r="L522">
        <v>183750</v>
      </c>
      <c r="M522">
        <v>120000</v>
      </c>
      <c r="N522">
        <v>0.15</v>
      </c>
      <c r="O522" t="s">
        <v>52</v>
      </c>
      <c r="P522" t="s">
        <v>48</v>
      </c>
    </row>
    <row r="523" spans="1:16" x14ac:dyDescent="0.25">
      <c r="A523" t="s">
        <v>899</v>
      </c>
      <c r="B523" t="s">
        <v>436</v>
      </c>
      <c r="C523" t="s">
        <v>18</v>
      </c>
      <c r="D523" t="s">
        <v>136</v>
      </c>
      <c r="E523" t="s">
        <v>137</v>
      </c>
      <c r="F523" t="s">
        <v>122</v>
      </c>
      <c r="G523" t="s">
        <v>44</v>
      </c>
      <c r="H523" t="s">
        <v>63</v>
      </c>
      <c r="I523" t="s">
        <v>93</v>
      </c>
      <c r="J523" t="s">
        <v>46</v>
      </c>
      <c r="K523">
        <v>3</v>
      </c>
      <c r="L523">
        <v>104500</v>
      </c>
      <c r="M523">
        <v>82000</v>
      </c>
      <c r="N523">
        <v>0.05</v>
      </c>
      <c r="O523" t="s">
        <v>90</v>
      </c>
      <c r="P523" t="s">
        <v>72</v>
      </c>
    </row>
    <row r="524" spans="1:16" x14ac:dyDescent="0.25">
      <c r="A524" t="s">
        <v>900</v>
      </c>
      <c r="B524" t="s">
        <v>596</v>
      </c>
      <c r="C524" t="s">
        <v>30</v>
      </c>
      <c r="D524" t="s">
        <v>157</v>
      </c>
      <c r="E524" t="s">
        <v>158</v>
      </c>
      <c r="F524" t="s">
        <v>21</v>
      </c>
      <c r="G524" t="s">
        <v>33</v>
      </c>
      <c r="H524" t="s">
        <v>63</v>
      </c>
      <c r="I524" t="s">
        <v>75</v>
      </c>
      <c r="J524" t="s">
        <v>36</v>
      </c>
      <c r="K524">
        <v>1</v>
      </c>
      <c r="L524">
        <v>189000</v>
      </c>
      <c r="M524">
        <v>123500</v>
      </c>
      <c r="N524">
        <v>0.05</v>
      </c>
      <c r="O524" t="s">
        <v>90</v>
      </c>
      <c r="P524" t="s">
        <v>48</v>
      </c>
    </row>
    <row r="525" spans="1:16" x14ac:dyDescent="0.25">
      <c r="A525" t="s">
        <v>901</v>
      </c>
      <c r="B525" t="s">
        <v>902</v>
      </c>
      <c r="C525" t="s">
        <v>40</v>
      </c>
      <c r="D525" t="s">
        <v>157</v>
      </c>
      <c r="E525" t="s">
        <v>158</v>
      </c>
      <c r="F525" t="s">
        <v>21</v>
      </c>
      <c r="G525" t="s">
        <v>22</v>
      </c>
      <c r="H525" t="s">
        <v>23</v>
      </c>
      <c r="I525" t="s">
        <v>51</v>
      </c>
      <c r="J525" t="s">
        <v>36</v>
      </c>
      <c r="K525">
        <v>12</v>
      </c>
      <c r="L525">
        <v>252000</v>
      </c>
      <c r="M525">
        <v>210000</v>
      </c>
      <c r="N525">
        <v>0</v>
      </c>
      <c r="O525" t="s">
        <v>37</v>
      </c>
      <c r="P525" t="s">
        <v>72</v>
      </c>
    </row>
    <row r="526" spans="1:16" x14ac:dyDescent="0.25">
      <c r="A526" t="s">
        <v>903</v>
      </c>
      <c r="B526" t="s">
        <v>147</v>
      </c>
      <c r="C526" t="s">
        <v>30</v>
      </c>
      <c r="D526" t="s">
        <v>60</v>
      </c>
      <c r="E526" t="s">
        <v>61</v>
      </c>
      <c r="F526" t="s">
        <v>43</v>
      </c>
      <c r="G526" t="s">
        <v>22</v>
      </c>
      <c r="H526" t="s">
        <v>34</v>
      </c>
      <c r="I526" t="s">
        <v>113</v>
      </c>
      <c r="J526" t="s">
        <v>36</v>
      </c>
      <c r="K526">
        <v>4</v>
      </c>
      <c r="L526">
        <v>160000</v>
      </c>
      <c r="M526">
        <v>120750</v>
      </c>
      <c r="N526">
        <v>0.05</v>
      </c>
      <c r="O526" t="s">
        <v>57</v>
      </c>
      <c r="P526" t="s">
        <v>48</v>
      </c>
    </row>
    <row r="527" spans="1:16" x14ac:dyDescent="0.25">
      <c r="A527" t="s">
        <v>904</v>
      </c>
      <c r="B527" t="s">
        <v>905</v>
      </c>
      <c r="C527" t="s">
        <v>18</v>
      </c>
      <c r="D527" t="s">
        <v>120</v>
      </c>
      <c r="E527" t="s">
        <v>121</v>
      </c>
      <c r="F527" t="s">
        <v>122</v>
      </c>
      <c r="G527" t="s">
        <v>62</v>
      </c>
      <c r="H527" t="s">
        <v>96</v>
      </c>
      <c r="I527" t="s">
        <v>45</v>
      </c>
      <c r="J527" t="s">
        <v>46</v>
      </c>
      <c r="K527">
        <v>4</v>
      </c>
      <c r="L527">
        <v>20350</v>
      </c>
      <c r="M527">
        <v>14500</v>
      </c>
      <c r="N527">
        <v>0</v>
      </c>
      <c r="O527" t="s">
        <v>90</v>
      </c>
      <c r="P527" t="s">
        <v>48</v>
      </c>
    </row>
    <row r="528" spans="1:16" x14ac:dyDescent="0.25">
      <c r="A528" t="s">
        <v>906</v>
      </c>
      <c r="B528" t="s">
        <v>907</v>
      </c>
      <c r="C528" t="s">
        <v>18</v>
      </c>
      <c r="D528" t="s">
        <v>120</v>
      </c>
      <c r="E528" t="s">
        <v>121</v>
      </c>
      <c r="F528" t="s">
        <v>122</v>
      </c>
      <c r="G528" t="s">
        <v>33</v>
      </c>
      <c r="H528" t="s">
        <v>34</v>
      </c>
      <c r="I528" t="s">
        <v>35</v>
      </c>
      <c r="J528" t="s">
        <v>36</v>
      </c>
      <c r="K528">
        <v>4</v>
      </c>
      <c r="L528">
        <v>450000</v>
      </c>
      <c r="M528">
        <v>350000</v>
      </c>
      <c r="N528">
        <v>0</v>
      </c>
      <c r="O528" t="s">
        <v>90</v>
      </c>
      <c r="P528" t="s">
        <v>48</v>
      </c>
    </row>
    <row r="529" spans="1:16" x14ac:dyDescent="0.25">
      <c r="A529" t="s">
        <v>908</v>
      </c>
      <c r="B529" t="s">
        <v>909</v>
      </c>
      <c r="C529" t="s">
        <v>18</v>
      </c>
      <c r="D529" t="s">
        <v>41</v>
      </c>
      <c r="E529" t="s">
        <v>42</v>
      </c>
      <c r="F529" t="s">
        <v>43</v>
      </c>
      <c r="G529" t="s">
        <v>22</v>
      </c>
      <c r="H529" t="s">
        <v>63</v>
      </c>
      <c r="I529" t="s">
        <v>24</v>
      </c>
      <c r="J529" t="s">
        <v>25</v>
      </c>
      <c r="K529">
        <v>4</v>
      </c>
      <c r="L529">
        <v>23100</v>
      </c>
      <c r="M529">
        <v>13000</v>
      </c>
      <c r="N529">
        <v>0.05</v>
      </c>
      <c r="O529" t="s">
        <v>47</v>
      </c>
      <c r="P529" t="s">
        <v>48</v>
      </c>
    </row>
    <row r="530" spans="1:16" x14ac:dyDescent="0.25">
      <c r="A530" t="s">
        <v>910</v>
      </c>
      <c r="B530" t="s">
        <v>221</v>
      </c>
      <c r="C530" t="s">
        <v>40</v>
      </c>
      <c r="D530" t="s">
        <v>83</v>
      </c>
      <c r="E530" t="s">
        <v>84</v>
      </c>
      <c r="F530" t="s">
        <v>85</v>
      </c>
      <c r="G530" t="s">
        <v>44</v>
      </c>
      <c r="H530" t="s">
        <v>96</v>
      </c>
      <c r="I530" t="s">
        <v>105</v>
      </c>
      <c r="J530" t="s">
        <v>71</v>
      </c>
      <c r="K530">
        <v>8</v>
      </c>
      <c r="L530">
        <v>192500</v>
      </c>
      <c r="M530">
        <v>126000</v>
      </c>
      <c r="N530">
        <v>0.1</v>
      </c>
      <c r="O530" t="s">
        <v>57</v>
      </c>
      <c r="P530" t="s">
        <v>48</v>
      </c>
    </row>
    <row r="531" spans="1:16" x14ac:dyDescent="0.25">
      <c r="A531" t="s">
        <v>911</v>
      </c>
      <c r="B531" t="s">
        <v>95</v>
      </c>
      <c r="C531" t="s">
        <v>30</v>
      </c>
      <c r="D531" t="s">
        <v>78</v>
      </c>
      <c r="E531" t="s">
        <v>79</v>
      </c>
      <c r="F531" t="s">
        <v>80</v>
      </c>
      <c r="G531" t="s">
        <v>22</v>
      </c>
      <c r="H531" t="s">
        <v>112</v>
      </c>
      <c r="I531" t="s">
        <v>105</v>
      </c>
      <c r="J531" t="s">
        <v>71</v>
      </c>
      <c r="K531">
        <v>3</v>
      </c>
      <c r="L531">
        <v>166250</v>
      </c>
      <c r="M531">
        <v>120000</v>
      </c>
      <c r="N531">
        <v>0.1</v>
      </c>
      <c r="O531" t="s">
        <v>57</v>
      </c>
      <c r="P531" t="s">
        <v>48</v>
      </c>
    </row>
    <row r="532" spans="1:16" x14ac:dyDescent="0.25">
      <c r="A532" t="s">
        <v>912</v>
      </c>
      <c r="B532" t="s">
        <v>605</v>
      </c>
      <c r="C532" t="s">
        <v>40</v>
      </c>
      <c r="D532" t="s">
        <v>131</v>
      </c>
      <c r="E532" t="s">
        <v>132</v>
      </c>
      <c r="F532" t="s">
        <v>80</v>
      </c>
      <c r="G532" t="s">
        <v>33</v>
      </c>
      <c r="H532" t="s">
        <v>112</v>
      </c>
      <c r="I532" t="s">
        <v>55</v>
      </c>
      <c r="J532" t="s">
        <v>56</v>
      </c>
      <c r="K532">
        <v>8</v>
      </c>
      <c r="L532">
        <v>48000</v>
      </c>
      <c r="M532">
        <v>30000</v>
      </c>
      <c r="N532">
        <v>0</v>
      </c>
      <c r="O532" t="s">
        <v>90</v>
      </c>
      <c r="P532" t="s">
        <v>133</v>
      </c>
    </row>
    <row r="533" spans="1:16" x14ac:dyDescent="0.25">
      <c r="A533" t="s">
        <v>913</v>
      </c>
      <c r="B533" t="s">
        <v>914</v>
      </c>
      <c r="C533" t="s">
        <v>30</v>
      </c>
      <c r="D533" t="s">
        <v>60</v>
      </c>
      <c r="E533" t="s">
        <v>61</v>
      </c>
      <c r="F533" t="s">
        <v>43</v>
      </c>
      <c r="G533" t="s">
        <v>22</v>
      </c>
      <c r="H533" t="s">
        <v>34</v>
      </c>
      <c r="I533" t="s">
        <v>45</v>
      </c>
      <c r="J533" t="s">
        <v>46</v>
      </c>
      <c r="K533">
        <v>5</v>
      </c>
      <c r="L533">
        <v>17575</v>
      </c>
      <c r="M533">
        <v>13775</v>
      </c>
      <c r="N533">
        <v>0</v>
      </c>
      <c r="O533" t="s">
        <v>26</v>
      </c>
      <c r="P533" t="s">
        <v>72</v>
      </c>
    </row>
    <row r="534" spans="1:16" x14ac:dyDescent="0.25">
      <c r="A534" t="s">
        <v>915</v>
      </c>
      <c r="B534" t="s">
        <v>916</v>
      </c>
      <c r="C534" t="s">
        <v>30</v>
      </c>
      <c r="D534" t="s">
        <v>31</v>
      </c>
      <c r="E534" t="s">
        <v>32</v>
      </c>
      <c r="F534" t="s">
        <v>21</v>
      </c>
      <c r="G534" t="s">
        <v>62</v>
      </c>
      <c r="H534" t="s">
        <v>63</v>
      </c>
      <c r="I534" t="s">
        <v>55</v>
      </c>
      <c r="J534" t="s">
        <v>56</v>
      </c>
      <c r="K534">
        <v>2</v>
      </c>
      <c r="L534">
        <v>48000</v>
      </c>
      <c r="M534">
        <v>30000</v>
      </c>
      <c r="N534">
        <v>0</v>
      </c>
      <c r="O534" t="s">
        <v>52</v>
      </c>
      <c r="P534" t="s">
        <v>48</v>
      </c>
    </row>
    <row r="535" spans="1:16" x14ac:dyDescent="0.25">
      <c r="A535" t="s">
        <v>917</v>
      </c>
      <c r="B535" t="s">
        <v>680</v>
      </c>
      <c r="C535" t="s">
        <v>40</v>
      </c>
      <c r="D535" t="s">
        <v>41</v>
      </c>
      <c r="E535" t="s">
        <v>42</v>
      </c>
      <c r="F535" t="s">
        <v>43</v>
      </c>
      <c r="G535" t="s">
        <v>33</v>
      </c>
      <c r="H535" t="s">
        <v>23</v>
      </c>
      <c r="I535" t="s">
        <v>70</v>
      </c>
      <c r="J535" t="s">
        <v>71</v>
      </c>
      <c r="K535">
        <v>3</v>
      </c>
      <c r="L535">
        <v>95000</v>
      </c>
      <c r="M535">
        <v>58900</v>
      </c>
      <c r="N535">
        <v>0</v>
      </c>
      <c r="O535" t="s">
        <v>148</v>
      </c>
      <c r="P535" t="s">
        <v>48</v>
      </c>
    </row>
    <row r="536" spans="1:16" x14ac:dyDescent="0.25">
      <c r="A536" t="s">
        <v>918</v>
      </c>
      <c r="B536" t="s">
        <v>150</v>
      </c>
      <c r="C536" t="s">
        <v>18</v>
      </c>
      <c r="D536" t="s">
        <v>60</v>
      </c>
      <c r="E536" t="s">
        <v>61</v>
      </c>
      <c r="F536" t="s">
        <v>43</v>
      </c>
      <c r="G536" t="s">
        <v>33</v>
      </c>
      <c r="H536" t="s">
        <v>34</v>
      </c>
      <c r="I536" t="s">
        <v>75</v>
      </c>
      <c r="J536" t="s">
        <v>36</v>
      </c>
      <c r="K536">
        <v>2</v>
      </c>
      <c r="L536">
        <v>180000</v>
      </c>
      <c r="M536">
        <v>136500</v>
      </c>
      <c r="N536">
        <v>0.05</v>
      </c>
      <c r="O536" t="s">
        <v>37</v>
      </c>
      <c r="P536" t="s">
        <v>27</v>
      </c>
    </row>
    <row r="537" spans="1:16" x14ac:dyDescent="0.25">
      <c r="A537" t="s">
        <v>919</v>
      </c>
      <c r="B537" t="s">
        <v>920</v>
      </c>
      <c r="C537" t="s">
        <v>40</v>
      </c>
      <c r="D537" t="s">
        <v>88</v>
      </c>
      <c r="E537" t="s">
        <v>89</v>
      </c>
      <c r="F537" t="s">
        <v>43</v>
      </c>
      <c r="G537" t="s">
        <v>62</v>
      </c>
      <c r="H537" t="s">
        <v>23</v>
      </c>
      <c r="I537" t="s">
        <v>93</v>
      </c>
      <c r="J537" t="s">
        <v>46</v>
      </c>
      <c r="K537">
        <v>3</v>
      </c>
      <c r="L537">
        <v>104500</v>
      </c>
      <c r="M537">
        <v>86100</v>
      </c>
      <c r="N537">
        <v>0.15</v>
      </c>
      <c r="O537" t="s">
        <v>148</v>
      </c>
      <c r="P537" t="s">
        <v>133</v>
      </c>
    </row>
    <row r="538" spans="1:16" x14ac:dyDescent="0.25">
      <c r="A538" t="s">
        <v>921</v>
      </c>
      <c r="B538" t="s">
        <v>664</v>
      </c>
      <c r="C538" t="s">
        <v>18</v>
      </c>
      <c r="D538" t="s">
        <v>131</v>
      </c>
      <c r="E538" t="s">
        <v>132</v>
      </c>
      <c r="F538" t="s">
        <v>80</v>
      </c>
      <c r="G538" t="s">
        <v>62</v>
      </c>
      <c r="H538" t="s">
        <v>112</v>
      </c>
      <c r="I538" t="s">
        <v>113</v>
      </c>
      <c r="J538" t="s">
        <v>36</v>
      </c>
      <c r="K538">
        <v>5</v>
      </c>
      <c r="L538">
        <v>176000</v>
      </c>
      <c r="M538">
        <v>115000</v>
      </c>
      <c r="N538">
        <v>0</v>
      </c>
      <c r="O538" t="s">
        <v>90</v>
      </c>
      <c r="P538" t="s">
        <v>48</v>
      </c>
    </row>
    <row r="539" spans="1:16" x14ac:dyDescent="0.25">
      <c r="A539" t="s">
        <v>922</v>
      </c>
      <c r="B539" t="s">
        <v>923</v>
      </c>
      <c r="C539" t="s">
        <v>30</v>
      </c>
      <c r="D539" t="s">
        <v>131</v>
      </c>
      <c r="E539" t="s">
        <v>132</v>
      </c>
      <c r="F539" t="s">
        <v>80</v>
      </c>
      <c r="G539" t="s">
        <v>22</v>
      </c>
      <c r="H539" t="s">
        <v>63</v>
      </c>
      <c r="I539" t="s">
        <v>45</v>
      </c>
      <c r="J539" t="s">
        <v>46</v>
      </c>
      <c r="K539">
        <v>3</v>
      </c>
      <c r="L539">
        <v>18500</v>
      </c>
      <c r="M539">
        <v>13775</v>
      </c>
      <c r="N539">
        <v>0</v>
      </c>
      <c r="O539" t="s">
        <v>26</v>
      </c>
      <c r="P539" t="s">
        <v>48</v>
      </c>
    </row>
    <row r="540" spans="1:16" x14ac:dyDescent="0.25">
      <c r="A540" t="s">
        <v>924</v>
      </c>
      <c r="B540" t="s">
        <v>215</v>
      </c>
      <c r="C540" t="s">
        <v>40</v>
      </c>
      <c r="D540" t="s">
        <v>110</v>
      </c>
      <c r="E540" t="s">
        <v>111</v>
      </c>
      <c r="F540" t="s">
        <v>85</v>
      </c>
      <c r="G540" t="s">
        <v>44</v>
      </c>
      <c r="H540" t="s">
        <v>96</v>
      </c>
      <c r="I540" t="s">
        <v>51</v>
      </c>
      <c r="J540" t="s">
        <v>36</v>
      </c>
      <c r="K540">
        <v>8</v>
      </c>
      <c r="L540">
        <v>280000</v>
      </c>
      <c r="M540">
        <v>220500</v>
      </c>
      <c r="N540">
        <v>0</v>
      </c>
      <c r="O540" t="s">
        <v>47</v>
      </c>
      <c r="P540" t="s">
        <v>133</v>
      </c>
    </row>
    <row r="541" spans="1:16" x14ac:dyDescent="0.25">
      <c r="A541" t="s">
        <v>925</v>
      </c>
      <c r="B541" t="s">
        <v>231</v>
      </c>
      <c r="C541" t="s">
        <v>18</v>
      </c>
      <c r="D541" t="s">
        <v>60</v>
      </c>
      <c r="E541" t="s">
        <v>61</v>
      </c>
      <c r="F541" t="s">
        <v>43</v>
      </c>
      <c r="G541" t="s">
        <v>62</v>
      </c>
      <c r="H541" t="s">
        <v>112</v>
      </c>
      <c r="I541" t="s">
        <v>35</v>
      </c>
      <c r="J541" t="s">
        <v>36</v>
      </c>
      <c r="K541">
        <v>10</v>
      </c>
      <c r="L541">
        <v>450000</v>
      </c>
      <c r="M541">
        <v>332500</v>
      </c>
      <c r="N541">
        <v>0.05</v>
      </c>
      <c r="O541" t="s">
        <v>57</v>
      </c>
      <c r="P541" t="s">
        <v>48</v>
      </c>
    </row>
    <row r="542" spans="1:16" x14ac:dyDescent="0.25">
      <c r="A542" t="s">
        <v>926</v>
      </c>
      <c r="B542" t="s">
        <v>150</v>
      </c>
      <c r="C542" t="s">
        <v>40</v>
      </c>
      <c r="D542" t="s">
        <v>157</v>
      </c>
      <c r="E542" t="s">
        <v>158</v>
      </c>
      <c r="F542" t="s">
        <v>21</v>
      </c>
      <c r="G542" t="s">
        <v>22</v>
      </c>
      <c r="H542" t="s">
        <v>96</v>
      </c>
      <c r="I542" t="s">
        <v>105</v>
      </c>
      <c r="J542" t="s">
        <v>71</v>
      </c>
      <c r="K542">
        <v>6</v>
      </c>
      <c r="L542">
        <v>157500</v>
      </c>
      <c r="M542">
        <v>120000</v>
      </c>
      <c r="N542">
        <v>0</v>
      </c>
      <c r="O542" t="s">
        <v>57</v>
      </c>
      <c r="P542" t="s">
        <v>72</v>
      </c>
    </row>
    <row r="543" spans="1:16" x14ac:dyDescent="0.25">
      <c r="A543" t="s">
        <v>927</v>
      </c>
      <c r="B543" t="s">
        <v>928</v>
      </c>
      <c r="C543" t="s">
        <v>18</v>
      </c>
      <c r="D543" t="s">
        <v>120</v>
      </c>
      <c r="E543" t="s">
        <v>121</v>
      </c>
      <c r="F543" t="s">
        <v>122</v>
      </c>
      <c r="G543" t="s">
        <v>62</v>
      </c>
      <c r="H543" t="s">
        <v>96</v>
      </c>
      <c r="I543" t="s">
        <v>35</v>
      </c>
      <c r="J543" t="s">
        <v>36</v>
      </c>
      <c r="K543">
        <v>8</v>
      </c>
      <c r="L543">
        <v>495000</v>
      </c>
      <c r="M543">
        <v>332500</v>
      </c>
      <c r="N543">
        <v>0</v>
      </c>
      <c r="O543" t="s">
        <v>57</v>
      </c>
      <c r="P543" t="s">
        <v>48</v>
      </c>
    </row>
    <row r="544" spans="1:16" x14ac:dyDescent="0.25">
      <c r="A544" t="s">
        <v>929</v>
      </c>
      <c r="B544" t="s">
        <v>200</v>
      </c>
      <c r="C544" t="s">
        <v>40</v>
      </c>
      <c r="D544" t="s">
        <v>60</v>
      </c>
      <c r="E544" t="s">
        <v>61</v>
      </c>
      <c r="F544" t="s">
        <v>43</v>
      </c>
      <c r="G544" t="s">
        <v>22</v>
      </c>
      <c r="H544" t="s">
        <v>63</v>
      </c>
      <c r="I544" t="s">
        <v>24</v>
      </c>
      <c r="J544" t="s">
        <v>25</v>
      </c>
      <c r="K544">
        <v>2</v>
      </c>
      <c r="L544">
        <v>20900</v>
      </c>
      <c r="M544">
        <v>13000</v>
      </c>
      <c r="N544">
        <v>0</v>
      </c>
      <c r="O544" t="s">
        <v>90</v>
      </c>
      <c r="P544" t="s">
        <v>48</v>
      </c>
    </row>
    <row r="545" spans="1:16" x14ac:dyDescent="0.25">
      <c r="A545" t="s">
        <v>930</v>
      </c>
      <c r="B545" t="s">
        <v>883</v>
      </c>
      <c r="C545" t="s">
        <v>30</v>
      </c>
      <c r="D545" t="s">
        <v>41</v>
      </c>
      <c r="E545" t="s">
        <v>42</v>
      </c>
      <c r="F545" t="s">
        <v>43</v>
      </c>
      <c r="G545" t="s">
        <v>62</v>
      </c>
      <c r="H545" t="s">
        <v>63</v>
      </c>
      <c r="I545" t="s">
        <v>75</v>
      </c>
      <c r="J545" t="s">
        <v>36</v>
      </c>
      <c r="K545">
        <v>1</v>
      </c>
      <c r="L545">
        <v>180000</v>
      </c>
      <c r="M545">
        <v>123500</v>
      </c>
      <c r="N545">
        <v>0</v>
      </c>
      <c r="O545" t="s">
        <v>90</v>
      </c>
      <c r="P545" t="s">
        <v>48</v>
      </c>
    </row>
    <row r="546" spans="1:16" x14ac:dyDescent="0.25">
      <c r="A546" t="s">
        <v>931</v>
      </c>
      <c r="B546" t="s">
        <v>177</v>
      </c>
      <c r="C546" t="s">
        <v>30</v>
      </c>
      <c r="D546" t="s">
        <v>41</v>
      </c>
      <c r="E546" t="s">
        <v>42</v>
      </c>
      <c r="F546" t="s">
        <v>43</v>
      </c>
      <c r="G546" t="s">
        <v>33</v>
      </c>
      <c r="H546" t="s">
        <v>96</v>
      </c>
      <c r="I546" t="s">
        <v>102</v>
      </c>
      <c r="J546" t="s">
        <v>25</v>
      </c>
      <c r="K546">
        <v>4</v>
      </c>
      <c r="L546">
        <v>39900</v>
      </c>
      <c r="M546">
        <v>24700</v>
      </c>
      <c r="N546">
        <v>0</v>
      </c>
      <c r="O546" t="s">
        <v>90</v>
      </c>
      <c r="P546" t="s">
        <v>48</v>
      </c>
    </row>
    <row r="547" spans="1:16" x14ac:dyDescent="0.25">
      <c r="A547" t="s">
        <v>932</v>
      </c>
      <c r="B547" t="s">
        <v>633</v>
      </c>
      <c r="C547" t="s">
        <v>40</v>
      </c>
      <c r="D547" t="s">
        <v>110</v>
      </c>
      <c r="E547" t="s">
        <v>111</v>
      </c>
      <c r="F547" t="s">
        <v>85</v>
      </c>
      <c r="G547" t="s">
        <v>33</v>
      </c>
      <c r="H547" t="s">
        <v>34</v>
      </c>
      <c r="I547" t="s">
        <v>35</v>
      </c>
      <c r="J547" t="s">
        <v>36</v>
      </c>
      <c r="K547">
        <v>10</v>
      </c>
      <c r="L547">
        <v>405000</v>
      </c>
      <c r="M547">
        <v>332500</v>
      </c>
      <c r="N547">
        <v>0.05</v>
      </c>
      <c r="O547" t="s">
        <v>37</v>
      </c>
      <c r="P547" t="s">
        <v>48</v>
      </c>
    </row>
    <row r="548" spans="1:16" x14ac:dyDescent="0.25">
      <c r="A548" t="s">
        <v>933</v>
      </c>
      <c r="B548" t="s">
        <v>135</v>
      </c>
      <c r="C548" t="s">
        <v>18</v>
      </c>
      <c r="D548" t="s">
        <v>88</v>
      </c>
      <c r="E548" t="s">
        <v>89</v>
      </c>
      <c r="F548" t="s">
        <v>43</v>
      </c>
      <c r="G548" t="s">
        <v>33</v>
      </c>
      <c r="H548" t="s">
        <v>23</v>
      </c>
      <c r="I548" t="s">
        <v>45</v>
      </c>
      <c r="J548" t="s">
        <v>46</v>
      </c>
      <c r="K548">
        <v>2</v>
      </c>
      <c r="L548">
        <v>20350</v>
      </c>
      <c r="M548">
        <v>14500</v>
      </c>
      <c r="N548">
        <v>0.15</v>
      </c>
      <c r="O548" t="s">
        <v>90</v>
      </c>
      <c r="P548" t="s">
        <v>133</v>
      </c>
    </row>
    <row r="549" spans="1:16" x14ac:dyDescent="0.25">
      <c r="A549" t="s">
        <v>934</v>
      </c>
      <c r="B549" t="s">
        <v>935</v>
      </c>
      <c r="C549" t="s">
        <v>40</v>
      </c>
      <c r="D549" t="s">
        <v>136</v>
      </c>
      <c r="E549" t="s">
        <v>137</v>
      </c>
      <c r="F549" t="s">
        <v>122</v>
      </c>
      <c r="G549" t="s">
        <v>33</v>
      </c>
      <c r="H549" t="s">
        <v>34</v>
      </c>
      <c r="I549" t="s">
        <v>51</v>
      </c>
      <c r="J549" t="s">
        <v>36</v>
      </c>
      <c r="K549">
        <v>3</v>
      </c>
      <c r="L549">
        <v>280000</v>
      </c>
      <c r="M549">
        <v>210000</v>
      </c>
      <c r="N549">
        <v>0.15</v>
      </c>
      <c r="O549" t="s">
        <v>64</v>
      </c>
      <c r="P549" t="s">
        <v>27</v>
      </c>
    </row>
    <row r="550" spans="1:16" x14ac:dyDescent="0.25">
      <c r="A550" t="s">
        <v>936</v>
      </c>
      <c r="B550" t="s">
        <v>817</v>
      </c>
      <c r="C550" t="s">
        <v>40</v>
      </c>
      <c r="D550" t="s">
        <v>131</v>
      </c>
      <c r="E550" t="s">
        <v>132</v>
      </c>
      <c r="F550" t="s">
        <v>80</v>
      </c>
      <c r="G550" t="s">
        <v>62</v>
      </c>
      <c r="H550" t="s">
        <v>112</v>
      </c>
      <c r="I550" t="s">
        <v>75</v>
      </c>
      <c r="J550" t="s">
        <v>36</v>
      </c>
      <c r="K550">
        <v>2</v>
      </c>
      <c r="L550">
        <v>180000</v>
      </c>
      <c r="M550">
        <v>136500</v>
      </c>
      <c r="N550">
        <v>0</v>
      </c>
      <c r="O550" t="s">
        <v>37</v>
      </c>
      <c r="P550" t="s">
        <v>27</v>
      </c>
    </row>
    <row r="551" spans="1:16" x14ac:dyDescent="0.25">
      <c r="A551" t="s">
        <v>937</v>
      </c>
      <c r="B551" t="s">
        <v>938</v>
      </c>
      <c r="C551" t="s">
        <v>40</v>
      </c>
      <c r="D551" t="s">
        <v>19</v>
      </c>
      <c r="E551" t="s">
        <v>20</v>
      </c>
      <c r="F551" t="s">
        <v>21</v>
      </c>
      <c r="G551" t="s">
        <v>44</v>
      </c>
      <c r="H551" t="s">
        <v>23</v>
      </c>
      <c r="I551" t="s">
        <v>35</v>
      </c>
      <c r="J551" t="s">
        <v>36</v>
      </c>
      <c r="K551">
        <v>3</v>
      </c>
      <c r="L551">
        <v>450000</v>
      </c>
      <c r="M551">
        <v>367500</v>
      </c>
      <c r="N551">
        <v>0.05</v>
      </c>
      <c r="O551" t="s">
        <v>52</v>
      </c>
      <c r="P551" t="s">
        <v>48</v>
      </c>
    </row>
    <row r="552" spans="1:16" x14ac:dyDescent="0.25">
      <c r="A552" t="s">
        <v>939</v>
      </c>
      <c r="B552" t="s">
        <v>200</v>
      </c>
      <c r="C552" t="s">
        <v>40</v>
      </c>
      <c r="D552" t="s">
        <v>136</v>
      </c>
      <c r="E552" t="s">
        <v>137</v>
      </c>
      <c r="F552" t="s">
        <v>122</v>
      </c>
      <c r="G552" t="s">
        <v>33</v>
      </c>
      <c r="H552" t="s">
        <v>34</v>
      </c>
      <c r="I552" t="s">
        <v>55</v>
      </c>
      <c r="J552" t="s">
        <v>56</v>
      </c>
      <c r="K552">
        <v>6</v>
      </c>
      <c r="L552">
        <v>48000</v>
      </c>
      <c r="M552">
        <v>28500</v>
      </c>
      <c r="N552">
        <v>0</v>
      </c>
      <c r="O552" t="s">
        <v>64</v>
      </c>
      <c r="P552" t="s">
        <v>72</v>
      </c>
    </row>
    <row r="553" spans="1:16" x14ac:dyDescent="0.25">
      <c r="A553" t="s">
        <v>940</v>
      </c>
      <c r="B553" t="s">
        <v>286</v>
      </c>
      <c r="C553" t="s">
        <v>30</v>
      </c>
      <c r="D553" t="s">
        <v>157</v>
      </c>
      <c r="E553" t="s">
        <v>158</v>
      </c>
      <c r="F553" t="s">
        <v>21</v>
      </c>
      <c r="G553" t="s">
        <v>33</v>
      </c>
      <c r="H553" t="s">
        <v>112</v>
      </c>
      <c r="I553" t="s">
        <v>93</v>
      </c>
      <c r="J553" t="s">
        <v>46</v>
      </c>
      <c r="K553">
        <v>15</v>
      </c>
      <c r="L553">
        <v>95000</v>
      </c>
      <c r="M553">
        <v>77900</v>
      </c>
      <c r="N553">
        <v>0</v>
      </c>
      <c r="O553" t="s">
        <v>47</v>
      </c>
      <c r="P553" t="s">
        <v>27</v>
      </c>
    </row>
    <row r="554" spans="1:16" x14ac:dyDescent="0.25">
      <c r="A554" t="s">
        <v>941</v>
      </c>
      <c r="B554" t="s">
        <v>547</v>
      </c>
      <c r="C554" t="s">
        <v>40</v>
      </c>
      <c r="D554" t="s">
        <v>136</v>
      </c>
      <c r="E554" t="s">
        <v>137</v>
      </c>
      <c r="F554" t="s">
        <v>122</v>
      </c>
      <c r="G554" t="s">
        <v>22</v>
      </c>
      <c r="H554" t="s">
        <v>23</v>
      </c>
      <c r="I554" t="s">
        <v>93</v>
      </c>
      <c r="J554" t="s">
        <v>46</v>
      </c>
      <c r="K554">
        <v>2</v>
      </c>
      <c r="L554">
        <v>99750</v>
      </c>
      <c r="M554">
        <v>77900</v>
      </c>
      <c r="N554">
        <v>0.15</v>
      </c>
      <c r="O554" t="s">
        <v>37</v>
      </c>
      <c r="P554" t="s">
        <v>133</v>
      </c>
    </row>
    <row r="555" spans="1:16" x14ac:dyDescent="0.25">
      <c r="A555" t="s">
        <v>942</v>
      </c>
      <c r="B555" t="s">
        <v>599</v>
      </c>
      <c r="C555" t="s">
        <v>30</v>
      </c>
      <c r="D555" t="s">
        <v>78</v>
      </c>
      <c r="E555" t="s">
        <v>79</v>
      </c>
      <c r="F555" t="s">
        <v>80</v>
      </c>
      <c r="G555" t="s">
        <v>22</v>
      </c>
      <c r="H555" t="s">
        <v>23</v>
      </c>
      <c r="I555" t="s">
        <v>105</v>
      </c>
      <c r="J555" t="s">
        <v>71</v>
      </c>
      <c r="K555">
        <v>1</v>
      </c>
      <c r="L555">
        <v>175000</v>
      </c>
      <c r="M555">
        <v>120000</v>
      </c>
      <c r="N555">
        <v>0</v>
      </c>
      <c r="O555" t="s">
        <v>26</v>
      </c>
      <c r="P555" t="s">
        <v>48</v>
      </c>
    </row>
    <row r="556" spans="1:16" x14ac:dyDescent="0.25">
      <c r="A556" t="s">
        <v>943</v>
      </c>
      <c r="B556" t="s">
        <v>17</v>
      </c>
      <c r="C556" t="s">
        <v>30</v>
      </c>
      <c r="D556" t="s">
        <v>110</v>
      </c>
      <c r="E556" t="s">
        <v>111</v>
      </c>
      <c r="F556" t="s">
        <v>85</v>
      </c>
      <c r="G556" t="s">
        <v>22</v>
      </c>
      <c r="H556" t="s">
        <v>34</v>
      </c>
      <c r="I556" t="s">
        <v>105</v>
      </c>
      <c r="J556" t="s">
        <v>71</v>
      </c>
      <c r="K556">
        <v>5</v>
      </c>
      <c r="L556">
        <v>157500</v>
      </c>
      <c r="M556">
        <v>114000</v>
      </c>
      <c r="N556">
        <v>0</v>
      </c>
      <c r="O556" t="s">
        <v>90</v>
      </c>
      <c r="P556" t="s">
        <v>133</v>
      </c>
    </row>
    <row r="557" spans="1:16" x14ac:dyDescent="0.25">
      <c r="A557" t="s">
        <v>944</v>
      </c>
      <c r="B557" t="s">
        <v>635</v>
      </c>
      <c r="C557" t="s">
        <v>40</v>
      </c>
      <c r="D557" t="s">
        <v>78</v>
      </c>
      <c r="E557" t="s">
        <v>79</v>
      </c>
      <c r="F557" t="s">
        <v>80</v>
      </c>
      <c r="G557" t="s">
        <v>62</v>
      </c>
      <c r="H557" t="s">
        <v>23</v>
      </c>
      <c r="I557" t="s">
        <v>97</v>
      </c>
      <c r="J557" t="s">
        <v>56</v>
      </c>
      <c r="K557">
        <v>2</v>
      </c>
      <c r="L557">
        <v>125000</v>
      </c>
      <c r="M557">
        <v>89250</v>
      </c>
      <c r="N557">
        <v>0</v>
      </c>
      <c r="O557" t="s">
        <v>57</v>
      </c>
      <c r="P557" t="s">
        <v>27</v>
      </c>
    </row>
    <row r="558" spans="1:16" x14ac:dyDescent="0.25">
      <c r="A558" t="s">
        <v>945</v>
      </c>
      <c r="B558" t="s">
        <v>831</v>
      </c>
      <c r="C558" t="s">
        <v>30</v>
      </c>
      <c r="D558" t="s">
        <v>136</v>
      </c>
      <c r="E558" t="s">
        <v>137</v>
      </c>
      <c r="F558" t="s">
        <v>122</v>
      </c>
      <c r="G558" t="s">
        <v>33</v>
      </c>
      <c r="H558" t="s">
        <v>34</v>
      </c>
      <c r="I558" t="s">
        <v>55</v>
      </c>
      <c r="J558" t="s">
        <v>56</v>
      </c>
      <c r="K558">
        <v>15</v>
      </c>
      <c r="L558">
        <v>48000</v>
      </c>
      <c r="M558">
        <v>28500</v>
      </c>
      <c r="N558">
        <v>0.1</v>
      </c>
      <c r="O558" t="s">
        <v>57</v>
      </c>
      <c r="P558" t="s">
        <v>133</v>
      </c>
    </row>
    <row r="559" spans="1:16" x14ac:dyDescent="0.25">
      <c r="A559" t="s">
        <v>946</v>
      </c>
      <c r="B559" t="s">
        <v>320</v>
      </c>
      <c r="C559" t="s">
        <v>18</v>
      </c>
      <c r="D559" t="s">
        <v>88</v>
      </c>
      <c r="E559" t="s">
        <v>89</v>
      </c>
      <c r="F559" t="s">
        <v>43</v>
      </c>
      <c r="G559" t="s">
        <v>62</v>
      </c>
      <c r="H559" t="s">
        <v>96</v>
      </c>
      <c r="I559" t="s">
        <v>35</v>
      </c>
      <c r="J559" t="s">
        <v>36</v>
      </c>
      <c r="K559">
        <v>10</v>
      </c>
      <c r="L559">
        <v>405000</v>
      </c>
      <c r="M559">
        <v>332500</v>
      </c>
      <c r="N559">
        <v>0.15</v>
      </c>
      <c r="O559" t="s">
        <v>64</v>
      </c>
      <c r="P559" t="s">
        <v>48</v>
      </c>
    </row>
    <row r="560" spans="1:16" x14ac:dyDescent="0.25">
      <c r="A560" t="s">
        <v>947</v>
      </c>
      <c r="B560" t="s">
        <v>250</v>
      </c>
      <c r="C560" t="s">
        <v>40</v>
      </c>
      <c r="D560" t="s">
        <v>136</v>
      </c>
      <c r="E560" t="s">
        <v>137</v>
      </c>
      <c r="F560" t="s">
        <v>122</v>
      </c>
      <c r="G560" t="s">
        <v>33</v>
      </c>
      <c r="H560" t="s">
        <v>23</v>
      </c>
      <c r="I560" t="s">
        <v>55</v>
      </c>
      <c r="J560" t="s">
        <v>56</v>
      </c>
      <c r="K560">
        <v>4</v>
      </c>
      <c r="L560">
        <v>50400</v>
      </c>
      <c r="M560">
        <v>30000</v>
      </c>
      <c r="O560" t="s">
        <v>64</v>
      </c>
      <c r="P560" t="s">
        <v>72</v>
      </c>
    </row>
    <row r="561" spans="1:16" x14ac:dyDescent="0.25">
      <c r="A561" t="s">
        <v>948</v>
      </c>
      <c r="B561" t="s">
        <v>697</v>
      </c>
      <c r="C561" t="s">
        <v>40</v>
      </c>
      <c r="D561" t="s">
        <v>157</v>
      </c>
      <c r="E561" t="s">
        <v>158</v>
      </c>
      <c r="F561" t="s">
        <v>21</v>
      </c>
      <c r="G561" t="s">
        <v>44</v>
      </c>
      <c r="H561" t="s">
        <v>34</v>
      </c>
      <c r="I561" t="s">
        <v>24</v>
      </c>
      <c r="J561" t="s">
        <v>25</v>
      </c>
      <c r="K561">
        <v>3</v>
      </c>
      <c r="L561">
        <v>20900</v>
      </c>
      <c r="M561">
        <v>13650</v>
      </c>
      <c r="N561">
        <v>0</v>
      </c>
      <c r="O561" t="s">
        <v>148</v>
      </c>
      <c r="P561" t="s">
        <v>48</v>
      </c>
    </row>
    <row r="562" spans="1:16" x14ac:dyDescent="0.25">
      <c r="A562" t="s">
        <v>949</v>
      </c>
      <c r="B562" t="s">
        <v>203</v>
      </c>
      <c r="C562" t="s">
        <v>18</v>
      </c>
      <c r="D562" t="s">
        <v>120</v>
      </c>
      <c r="E562" t="s">
        <v>121</v>
      </c>
      <c r="F562" t="s">
        <v>122</v>
      </c>
      <c r="G562" t="s">
        <v>44</v>
      </c>
      <c r="H562" t="s">
        <v>112</v>
      </c>
      <c r="I562" t="s">
        <v>51</v>
      </c>
      <c r="J562" t="s">
        <v>36</v>
      </c>
      <c r="K562">
        <v>1</v>
      </c>
      <c r="L562">
        <v>294000</v>
      </c>
      <c r="M562">
        <v>220500</v>
      </c>
      <c r="N562">
        <v>0.15</v>
      </c>
      <c r="O562" t="s">
        <v>37</v>
      </c>
      <c r="P562" t="s">
        <v>48</v>
      </c>
    </row>
    <row r="563" spans="1:16" x14ac:dyDescent="0.25">
      <c r="A563" t="s">
        <v>950</v>
      </c>
      <c r="B563" t="s">
        <v>391</v>
      </c>
      <c r="C563" t="s">
        <v>30</v>
      </c>
      <c r="D563" t="s">
        <v>131</v>
      </c>
      <c r="E563" t="s">
        <v>132</v>
      </c>
      <c r="F563" t="s">
        <v>80</v>
      </c>
      <c r="G563" t="s">
        <v>33</v>
      </c>
      <c r="H563" t="s">
        <v>112</v>
      </c>
      <c r="I563" t="s">
        <v>102</v>
      </c>
      <c r="J563" t="s">
        <v>25</v>
      </c>
      <c r="K563">
        <v>12</v>
      </c>
      <c r="L563">
        <v>42000</v>
      </c>
      <c r="M563">
        <v>26000</v>
      </c>
      <c r="N563">
        <v>0.05</v>
      </c>
      <c r="O563" t="s">
        <v>47</v>
      </c>
      <c r="P563" t="s">
        <v>72</v>
      </c>
    </row>
    <row r="564" spans="1:16" x14ac:dyDescent="0.25">
      <c r="A564" t="s">
        <v>951</v>
      </c>
      <c r="B564" t="s">
        <v>119</v>
      </c>
      <c r="C564" t="s">
        <v>30</v>
      </c>
      <c r="D564" t="s">
        <v>157</v>
      </c>
      <c r="E564" t="s">
        <v>158</v>
      </c>
      <c r="F564" t="s">
        <v>21</v>
      </c>
      <c r="G564" t="s">
        <v>62</v>
      </c>
      <c r="H564" t="s">
        <v>112</v>
      </c>
      <c r="I564" t="s">
        <v>113</v>
      </c>
      <c r="J564" t="s">
        <v>36</v>
      </c>
      <c r="K564">
        <v>3</v>
      </c>
      <c r="L564">
        <v>144000</v>
      </c>
      <c r="M564">
        <v>120750</v>
      </c>
      <c r="N564">
        <v>0.15</v>
      </c>
      <c r="O564" t="s">
        <v>47</v>
      </c>
      <c r="P564" t="s">
        <v>27</v>
      </c>
    </row>
    <row r="565" spans="1:16" x14ac:dyDescent="0.25">
      <c r="A565" t="s">
        <v>952</v>
      </c>
      <c r="B565" t="s">
        <v>953</v>
      </c>
      <c r="C565" t="s">
        <v>30</v>
      </c>
      <c r="D565" t="s">
        <v>31</v>
      </c>
      <c r="E565" t="s">
        <v>32</v>
      </c>
      <c r="F565" t="s">
        <v>21</v>
      </c>
      <c r="G565" t="s">
        <v>22</v>
      </c>
      <c r="H565" t="s">
        <v>34</v>
      </c>
      <c r="I565" t="s">
        <v>35</v>
      </c>
      <c r="J565" t="s">
        <v>36</v>
      </c>
      <c r="K565">
        <v>4</v>
      </c>
      <c r="L565">
        <v>472500</v>
      </c>
      <c r="M565">
        <v>350000</v>
      </c>
      <c r="N565">
        <v>0</v>
      </c>
      <c r="O565" t="s">
        <v>57</v>
      </c>
      <c r="P565" t="s">
        <v>72</v>
      </c>
    </row>
    <row r="566" spans="1:16" x14ac:dyDescent="0.25">
      <c r="A566" t="s">
        <v>954</v>
      </c>
      <c r="B566" t="s">
        <v>458</v>
      </c>
      <c r="C566" t="s">
        <v>30</v>
      </c>
      <c r="D566" t="s">
        <v>78</v>
      </c>
      <c r="E566" t="s">
        <v>79</v>
      </c>
      <c r="F566" t="s">
        <v>80</v>
      </c>
      <c r="G566" t="s">
        <v>22</v>
      </c>
      <c r="H566" t="s">
        <v>23</v>
      </c>
      <c r="I566" t="s">
        <v>97</v>
      </c>
      <c r="J566" t="s">
        <v>56</v>
      </c>
      <c r="K566">
        <v>1</v>
      </c>
      <c r="L566">
        <v>125000</v>
      </c>
      <c r="M566">
        <v>80750</v>
      </c>
      <c r="N566">
        <v>0</v>
      </c>
      <c r="O566" t="s">
        <v>57</v>
      </c>
      <c r="P566" t="s">
        <v>27</v>
      </c>
    </row>
    <row r="567" spans="1:16" x14ac:dyDescent="0.25">
      <c r="A567" t="s">
        <v>955</v>
      </c>
      <c r="B567" t="s">
        <v>124</v>
      </c>
      <c r="C567" t="s">
        <v>40</v>
      </c>
      <c r="D567" t="s">
        <v>31</v>
      </c>
      <c r="E567" t="s">
        <v>32</v>
      </c>
      <c r="F567" t="s">
        <v>21</v>
      </c>
      <c r="G567" t="s">
        <v>62</v>
      </c>
      <c r="H567" t="s">
        <v>112</v>
      </c>
      <c r="I567" t="s">
        <v>45</v>
      </c>
      <c r="J567" t="s">
        <v>46</v>
      </c>
      <c r="K567">
        <v>10</v>
      </c>
      <c r="L567">
        <v>18500</v>
      </c>
      <c r="M567">
        <v>13775</v>
      </c>
      <c r="N567">
        <v>0.05</v>
      </c>
      <c r="O567" t="s">
        <v>47</v>
      </c>
      <c r="P567" t="s">
        <v>133</v>
      </c>
    </row>
    <row r="568" spans="1:16" x14ac:dyDescent="0.25">
      <c r="A568" t="s">
        <v>956</v>
      </c>
      <c r="B568" t="s">
        <v>646</v>
      </c>
      <c r="C568" t="s">
        <v>18</v>
      </c>
      <c r="D568" t="s">
        <v>41</v>
      </c>
      <c r="E568" t="s">
        <v>42</v>
      </c>
      <c r="F568" t="s">
        <v>43</v>
      </c>
      <c r="G568" t="s">
        <v>33</v>
      </c>
      <c r="H568" t="s">
        <v>23</v>
      </c>
      <c r="I568" t="s">
        <v>70</v>
      </c>
      <c r="J568" t="s">
        <v>71</v>
      </c>
      <c r="K568">
        <v>1</v>
      </c>
      <c r="L568">
        <v>99750</v>
      </c>
      <c r="M568">
        <v>62000</v>
      </c>
      <c r="N568">
        <v>0.15</v>
      </c>
      <c r="O568" t="s">
        <v>90</v>
      </c>
      <c r="P568" t="s">
        <v>48</v>
      </c>
    </row>
    <row r="569" spans="1:16" x14ac:dyDescent="0.25">
      <c r="A569" t="s">
        <v>957</v>
      </c>
      <c r="B569" t="s">
        <v>107</v>
      </c>
      <c r="C569" t="s">
        <v>18</v>
      </c>
      <c r="D569" t="s">
        <v>31</v>
      </c>
      <c r="E569" t="s">
        <v>32</v>
      </c>
      <c r="F569" t="s">
        <v>21</v>
      </c>
      <c r="G569" t="s">
        <v>22</v>
      </c>
      <c r="H569" t="s">
        <v>63</v>
      </c>
      <c r="I569" t="s">
        <v>45</v>
      </c>
      <c r="J569" t="s">
        <v>46</v>
      </c>
      <c r="K569">
        <v>5</v>
      </c>
      <c r="L569">
        <v>18500</v>
      </c>
      <c r="M569">
        <v>13775</v>
      </c>
      <c r="N569">
        <v>0</v>
      </c>
      <c r="O569" t="s">
        <v>57</v>
      </c>
      <c r="P569" t="s">
        <v>48</v>
      </c>
    </row>
    <row r="570" spans="1:16" x14ac:dyDescent="0.25">
      <c r="A570" t="s">
        <v>958</v>
      </c>
      <c r="B570" t="s">
        <v>959</v>
      </c>
      <c r="C570" t="s">
        <v>18</v>
      </c>
      <c r="D570" t="s">
        <v>131</v>
      </c>
      <c r="E570" t="s">
        <v>132</v>
      </c>
      <c r="F570" t="s">
        <v>80</v>
      </c>
      <c r="G570" t="s">
        <v>44</v>
      </c>
      <c r="H570" t="s">
        <v>112</v>
      </c>
      <c r="I570" t="s">
        <v>75</v>
      </c>
      <c r="J570" t="s">
        <v>36</v>
      </c>
      <c r="K570">
        <v>2</v>
      </c>
      <c r="L570">
        <v>198000</v>
      </c>
      <c r="M570">
        <v>130000</v>
      </c>
      <c r="N570">
        <v>0</v>
      </c>
      <c r="O570" t="s">
        <v>47</v>
      </c>
      <c r="P570" t="s">
        <v>133</v>
      </c>
    </row>
    <row r="571" spans="1:16" x14ac:dyDescent="0.25">
      <c r="A571" t="s">
        <v>960</v>
      </c>
      <c r="B571" t="s">
        <v>961</v>
      </c>
      <c r="C571" t="s">
        <v>40</v>
      </c>
      <c r="D571" t="s">
        <v>41</v>
      </c>
      <c r="E571" t="s">
        <v>42</v>
      </c>
      <c r="F571" t="s">
        <v>43</v>
      </c>
      <c r="G571" t="s">
        <v>22</v>
      </c>
      <c r="H571" t="s">
        <v>34</v>
      </c>
      <c r="I571" t="s">
        <v>75</v>
      </c>
      <c r="J571" t="s">
        <v>36</v>
      </c>
      <c r="K571">
        <v>6</v>
      </c>
      <c r="L571">
        <v>171000</v>
      </c>
      <c r="M571">
        <v>136500</v>
      </c>
      <c r="N571">
        <v>0</v>
      </c>
      <c r="O571" t="s">
        <v>90</v>
      </c>
      <c r="P571" t="s">
        <v>48</v>
      </c>
    </row>
    <row r="572" spans="1:16" x14ac:dyDescent="0.25">
      <c r="A572" t="s">
        <v>962</v>
      </c>
      <c r="B572" t="s">
        <v>179</v>
      </c>
      <c r="C572" t="s">
        <v>18</v>
      </c>
      <c r="D572" t="s">
        <v>83</v>
      </c>
      <c r="E572" t="s">
        <v>84</v>
      </c>
      <c r="F572" t="s">
        <v>85</v>
      </c>
      <c r="G572" t="s">
        <v>62</v>
      </c>
      <c r="H572" t="s">
        <v>96</v>
      </c>
      <c r="I572" t="s">
        <v>97</v>
      </c>
      <c r="J572" t="s">
        <v>56</v>
      </c>
      <c r="K572">
        <v>6</v>
      </c>
      <c r="L572">
        <v>118750</v>
      </c>
      <c r="M572">
        <v>89250</v>
      </c>
      <c r="N572">
        <v>0.15</v>
      </c>
      <c r="O572" t="s">
        <v>57</v>
      </c>
      <c r="P572" t="s">
        <v>48</v>
      </c>
    </row>
    <row r="573" spans="1:16" x14ac:dyDescent="0.25">
      <c r="A573" t="s">
        <v>963</v>
      </c>
      <c r="B573" t="s">
        <v>649</v>
      </c>
      <c r="C573" t="s">
        <v>30</v>
      </c>
      <c r="D573" t="s">
        <v>31</v>
      </c>
      <c r="E573" t="s">
        <v>32</v>
      </c>
      <c r="F573" t="s">
        <v>21</v>
      </c>
      <c r="G573" t="s">
        <v>44</v>
      </c>
      <c r="H573" t="s">
        <v>112</v>
      </c>
      <c r="I573" t="s">
        <v>51</v>
      </c>
      <c r="J573" t="s">
        <v>36</v>
      </c>
      <c r="K573">
        <v>1</v>
      </c>
      <c r="L573">
        <v>280000</v>
      </c>
      <c r="M573">
        <v>220500</v>
      </c>
      <c r="N573">
        <v>0</v>
      </c>
      <c r="O573" t="s">
        <v>26</v>
      </c>
      <c r="P573" t="s">
        <v>27</v>
      </c>
    </row>
    <row r="574" spans="1:16" x14ac:dyDescent="0.25">
      <c r="A574" t="s">
        <v>964</v>
      </c>
      <c r="B574" t="s">
        <v>414</v>
      </c>
      <c r="C574" t="s">
        <v>40</v>
      </c>
      <c r="D574" t="s">
        <v>41</v>
      </c>
      <c r="E574" t="s">
        <v>42</v>
      </c>
      <c r="F574" t="s">
        <v>43</v>
      </c>
      <c r="G574" t="s">
        <v>62</v>
      </c>
      <c r="H574" t="s">
        <v>23</v>
      </c>
      <c r="I574" t="s">
        <v>97</v>
      </c>
      <c r="J574" t="s">
        <v>56</v>
      </c>
      <c r="K574">
        <v>1</v>
      </c>
      <c r="L574">
        <v>137500</v>
      </c>
      <c r="M574">
        <v>89250</v>
      </c>
      <c r="N574">
        <v>0</v>
      </c>
      <c r="O574" t="s">
        <v>148</v>
      </c>
      <c r="P574" t="s">
        <v>72</v>
      </c>
    </row>
    <row r="575" spans="1:16" x14ac:dyDescent="0.25">
      <c r="A575" t="s">
        <v>965</v>
      </c>
      <c r="B575" t="s">
        <v>298</v>
      </c>
      <c r="C575" t="s">
        <v>40</v>
      </c>
      <c r="D575" t="s">
        <v>78</v>
      </c>
      <c r="E575" t="s">
        <v>79</v>
      </c>
      <c r="F575" t="s">
        <v>80</v>
      </c>
      <c r="G575" t="s">
        <v>62</v>
      </c>
      <c r="H575" t="s">
        <v>63</v>
      </c>
      <c r="I575" t="s">
        <v>51</v>
      </c>
      <c r="J575" t="s">
        <v>36</v>
      </c>
      <c r="K575">
        <v>4</v>
      </c>
      <c r="L575">
        <v>308000</v>
      </c>
      <c r="M575">
        <v>220500</v>
      </c>
      <c r="N575">
        <v>0.1</v>
      </c>
      <c r="O575" t="s">
        <v>52</v>
      </c>
      <c r="P575" t="s">
        <v>48</v>
      </c>
    </row>
    <row r="576" spans="1:16" x14ac:dyDescent="0.25">
      <c r="A576" t="s">
        <v>966</v>
      </c>
      <c r="B576" t="s">
        <v>967</v>
      </c>
      <c r="C576" t="s">
        <v>18</v>
      </c>
      <c r="D576" t="s">
        <v>120</v>
      </c>
      <c r="E576" t="s">
        <v>121</v>
      </c>
      <c r="F576" t="s">
        <v>122</v>
      </c>
      <c r="G576" t="s">
        <v>62</v>
      </c>
      <c r="H576" t="s">
        <v>34</v>
      </c>
      <c r="I576" t="s">
        <v>70</v>
      </c>
      <c r="J576" t="s">
        <v>71</v>
      </c>
      <c r="K576">
        <v>4</v>
      </c>
      <c r="L576">
        <v>95000</v>
      </c>
      <c r="M576">
        <v>62000</v>
      </c>
      <c r="N576">
        <v>0.15</v>
      </c>
      <c r="O576" t="s">
        <v>47</v>
      </c>
      <c r="P576" t="s">
        <v>133</v>
      </c>
    </row>
    <row r="577" spans="1:16" x14ac:dyDescent="0.25">
      <c r="A577" t="s">
        <v>968</v>
      </c>
      <c r="B577" t="s">
        <v>825</v>
      </c>
      <c r="C577" t="s">
        <v>30</v>
      </c>
      <c r="D577" t="s">
        <v>31</v>
      </c>
      <c r="E577" t="s">
        <v>32</v>
      </c>
      <c r="F577" t="s">
        <v>21</v>
      </c>
      <c r="G577" t="s">
        <v>22</v>
      </c>
      <c r="H577" t="s">
        <v>112</v>
      </c>
      <c r="I577" t="s">
        <v>93</v>
      </c>
      <c r="J577" t="s">
        <v>46</v>
      </c>
      <c r="K577">
        <v>5</v>
      </c>
      <c r="L577">
        <v>104500</v>
      </c>
      <c r="M577">
        <v>77900</v>
      </c>
      <c r="N577">
        <v>0</v>
      </c>
      <c r="O577" t="s">
        <v>47</v>
      </c>
      <c r="P577" t="s">
        <v>48</v>
      </c>
    </row>
    <row r="578" spans="1:16" x14ac:dyDescent="0.25">
      <c r="A578" t="s">
        <v>969</v>
      </c>
      <c r="B578" t="s">
        <v>873</v>
      </c>
      <c r="C578" t="s">
        <v>18</v>
      </c>
      <c r="D578" t="s">
        <v>136</v>
      </c>
      <c r="E578" t="s">
        <v>137</v>
      </c>
      <c r="F578" t="s">
        <v>122</v>
      </c>
      <c r="G578" t="s">
        <v>44</v>
      </c>
      <c r="H578" t="s">
        <v>23</v>
      </c>
      <c r="I578" t="s">
        <v>113</v>
      </c>
      <c r="J578" t="s">
        <v>36</v>
      </c>
      <c r="K578">
        <v>2</v>
      </c>
      <c r="L578">
        <v>152000</v>
      </c>
      <c r="M578">
        <v>109250</v>
      </c>
      <c r="N578">
        <v>0</v>
      </c>
      <c r="O578" t="s">
        <v>52</v>
      </c>
      <c r="P578" t="s">
        <v>48</v>
      </c>
    </row>
    <row r="579" spans="1:16" x14ac:dyDescent="0.25">
      <c r="A579" t="s">
        <v>970</v>
      </c>
      <c r="B579" t="s">
        <v>368</v>
      </c>
      <c r="C579" t="s">
        <v>30</v>
      </c>
      <c r="D579" t="s">
        <v>19</v>
      </c>
      <c r="E579" t="s">
        <v>20</v>
      </c>
      <c r="F579" t="s">
        <v>21</v>
      </c>
      <c r="G579" t="s">
        <v>44</v>
      </c>
      <c r="H579" t="s">
        <v>96</v>
      </c>
      <c r="I579" t="s">
        <v>102</v>
      </c>
      <c r="J579" t="s">
        <v>25</v>
      </c>
      <c r="K579">
        <v>1</v>
      </c>
      <c r="L579">
        <v>42000</v>
      </c>
      <c r="M579">
        <v>26000</v>
      </c>
      <c r="N579">
        <v>0.05</v>
      </c>
      <c r="O579" t="s">
        <v>90</v>
      </c>
      <c r="P579" t="s">
        <v>27</v>
      </c>
    </row>
    <row r="580" spans="1:16" x14ac:dyDescent="0.25">
      <c r="A580" t="s">
        <v>971</v>
      </c>
      <c r="B580" t="s">
        <v>972</v>
      </c>
      <c r="C580" t="s">
        <v>30</v>
      </c>
      <c r="D580" t="s">
        <v>41</v>
      </c>
      <c r="E580" t="s">
        <v>42</v>
      </c>
      <c r="F580" t="s">
        <v>43</v>
      </c>
      <c r="G580" t="s">
        <v>62</v>
      </c>
      <c r="H580" t="s">
        <v>63</v>
      </c>
      <c r="I580" t="s">
        <v>70</v>
      </c>
      <c r="J580" t="s">
        <v>71</v>
      </c>
      <c r="K580">
        <v>3</v>
      </c>
      <c r="L580">
        <v>85500</v>
      </c>
      <c r="M580">
        <v>65100</v>
      </c>
      <c r="N580">
        <v>0</v>
      </c>
      <c r="O580" t="s">
        <v>90</v>
      </c>
      <c r="P580" t="s">
        <v>27</v>
      </c>
    </row>
    <row r="581" spans="1:16" x14ac:dyDescent="0.25">
      <c r="A581" t="s">
        <v>973</v>
      </c>
      <c r="B581" t="s">
        <v>568</v>
      </c>
      <c r="C581" t="s">
        <v>40</v>
      </c>
      <c r="D581" t="s">
        <v>41</v>
      </c>
      <c r="E581" t="s">
        <v>42</v>
      </c>
      <c r="F581" t="s">
        <v>43</v>
      </c>
      <c r="G581" t="s">
        <v>44</v>
      </c>
      <c r="H581" t="s">
        <v>112</v>
      </c>
      <c r="I581" t="s">
        <v>51</v>
      </c>
      <c r="J581" t="s">
        <v>36</v>
      </c>
      <c r="K581">
        <v>6</v>
      </c>
      <c r="L581">
        <v>280000</v>
      </c>
      <c r="M581">
        <v>220500</v>
      </c>
      <c r="N581">
        <v>0</v>
      </c>
      <c r="O581" t="s">
        <v>52</v>
      </c>
      <c r="P581" t="s">
        <v>48</v>
      </c>
    </row>
    <row r="582" spans="1:16" x14ac:dyDescent="0.25">
      <c r="A582" t="s">
        <v>974</v>
      </c>
      <c r="B582" t="s">
        <v>975</v>
      </c>
      <c r="C582" t="s">
        <v>40</v>
      </c>
      <c r="D582" t="s">
        <v>60</v>
      </c>
      <c r="E582" t="s">
        <v>61</v>
      </c>
      <c r="F582" t="s">
        <v>43</v>
      </c>
      <c r="G582" t="s">
        <v>44</v>
      </c>
      <c r="H582" t="s">
        <v>23</v>
      </c>
      <c r="I582" t="s">
        <v>97</v>
      </c>
      <c r="J582" t="s">
        <v>56</v>
      </c>
      <c r="K582">
        <v>4</v>
      </c>
      <c r="L582">
        <v>118750</v>
      </c>
      <c r="M582">
        <v>89250</v>
      </c>
      <c r="N582">
        <v>0</v>
      </c>
      <c r="O582" t="s">
        <v>52</v>
      </c>
      <c r="P582" t="s">
        <v>133</v>
      </c>
    </row>
    <row r="583" spans="1:16" x14ac:dyDescent="0.25">
      <c r="A583" t="s">
        <v>976</v>
      </c>
      <c r="B583" t="s">
        <v>365</v>
      </c>
      <c r="C583" t="s">
        <v>40</v>
      </c>
      <c r="D583" t="s">
        <v>136</v>
      </c>
      <c r="E583" t="s">
        <v>137</v>
      </c>
      <c r="F583" t="s">
        <v>122</v>
      </c>
      <c r="G583" t="s">
        <v>33</v>
      </c>
      <c r="H583" t="s">
        <v>96</v>
      </c>
      <c r="I583" t="s">
        <v>97</v>
      </c>
      <c r="J583" t="s">
        <v>56</v>
      </c>
      <c r="K583">
        <v>2</v>
      </c>
      <c r="L583">
        <v>112500</v>
      </c>
      <c r="M583">
        <v>80750</v>
      </c>
      <c r="N583">
        <v>0</v>
      </c>
      <c r="O583" t="s">
        <v>37</v>
      </c>
      <c r="P583" t="s">
        <v>27</v>
      </c>
    </row>
    <row r="584" spans="1:16" x14ac:dyDescent="0.25">
      <c r="A584" t="s">
        <v>977</v>
      </c>
      <c r="B584" t="s">
        <v>336</v>
      </c>
      <c r="C584" t="s">
        <v>40</v>
      </c>
      <c r="D584" t="s">
        <v>120</v>
      </c>
      <c r="E584" t="s">
        <v>121</v>
      </c>
      <c r="F584" t="s">
        <v>122</v>
      </c>
      <c r="G584" t="s">
        <v>33</v>
      </c>
      <c r="H584" t="s">
        <v>23</v>
      </c>
      <c r="I584" t="s">
        <v>75</v>
      </c>
      <c r="J584" t="s">
        <v>36</v>
      </c>
      <c r="K584">
        <v>5</v>
      </c>
      <c r="L584">
        <v>162000</v>
      </c>
      <c r="M584">
        <v>136500</v>
      </c>
      <c r="N584">
        <v>0</v>
      </c>
      <c r="O584" t="s">
        <v>148</v>
      </c>
      <c r="P584" t="s">
        <v>27</v>
      </c>
    </row>
    <row r="585" spans="1:16" x14ac:dyDescent="0.25">
      <c r="A585" t="s">
        <v>978</v>
      </c>
      <c r="B585" t="s">
        <v>115</v>
      </c>
      <c r="C585" t="s">
        <v>18</v>
      </c>
      <c r="D585" t="s">
        <v>136</v>
      </c>
      <c r="E585" t="s">
        <v>137</v>
      </c>
      <c r="F585" t="s">
        <v>122</v>
      </c>
      <c r="G585" t="s">
        <v>44</v>
      </c>
      <c r="H585" t="s">
        <v>96</v>
      </c>
      <c r="I585" t="s">
        <v>93</v>
      </c>
      <c r="J585" t="s">
        <v>46</v>
      </c>
      <c r="K585">
        <v>12</v>
      </c>
      <c r="L585">
        <v>95000</v>
      </c>
      <c r="M585">
        <v>86100</v>
      </c>
      <c r="N585">
        <v>0.05</v>
      </c>
      <c r="O585" t="s">
        <v>26</v>
      </c>
      <c r="P585" t="s">
        <v>27</v>
      </c>
    </row>
    <row r="586" spans="1:16" x14ac:dyDescent="0.25">
      <c r="A586" t="s">
        <v>979</v>
      </c>
      <c r="B586" t="s">
        <v>735</v>
      </c>
      <c r="C586" t="s">
        <v>40</v>
      </c>
      <c r="D586" t="s">
        <v>110</v>
      </c>
      <c r="E586" t="s">
        <v>111</v>
      </c>
      <c r="F586" t="s">
        <v>85</v>
      </c>
      <c r="G586" t="s">
        <v>22</v>
      </c>
      <c r="H586" t="s">
        <v>96</v>
      </c>
      <c r="I586" t="s">
        <v>102</v>
      </c>
      <c r="J586" t="s">
        <v>25</v>
      </c>
      <c r="K586">
        <v>1</v>
      </c>
      <c r="L586">
        <v>42000</v>
      </c>
      <c r="M586">
        <v>26000</v>
      </c>
      <c r="N586">
        <v>0</v>
      </c>
      <c r="O586" t="s">
        <v>47</v>
      </c>
      <c r="P586" t="s">
        <v>48</v>
      </c>
    </row>
    <row r="587" spans="1:16" x14ac:dyDescent="0.25">
      <c r="A587" t="s">
        <v>980</v>
      </c>
      <c r="B587" t="s">
        <v>433</v>
      </c>
      <c r="C587" t="s">
        <v>30</v>
      </c>
      <c r="D587" t="s">
        <v>88</v>
      </c>
      <c r="E587" t="s">
        <v>89</v>
      </c>
      <c r="F587" t="s">
        <v>43</v>
      </c>
      <c r="G587" t="s">
        <v>22</v>
      </c>
      <c r="H587" t="s">
        <v>112</v>
      </c>
      <c r="I587" t="s">
        <v>93</v>
      </c>
      <c r="J587" t="s">
        <v>46</v>
      </c>
      <c r="K587">
        <v>1</v>
      </c>
      <c r="L587">
        <v>95000</v>
      </c>
      <c r="M587">
        <v>82000</v>
      </c>
      <c r="N587">
        <v>0.15</v>
      </c>
      <c r="O587" t="s">
        <v>64</v>
      </c>
      <c r="P587" t="s">
        <v>48</v>
      </c>
    </row>
    <row r="588" spans="1:16" x14ac:dyDescent="0.25">
      <c r="A588" t="s">
        <v>981</v>
      </c>
      <c r="B588" t="s">
        <v>982</v>
      </c>
      <c r="C588" t="s">
        <v>40</v>
      </c>
      <c r="D588" t="s">
        <v>136</v>
      </c>
      <c r="E588" t="s">
        <v>137</v>
      </c>
      <c r="F588" t="s">
        <v>122</v>
      </c>
      <c r="G588" t="s">
        <v>44</v>
      </c>
      <c r="H588" t="s">
        <v>34</v>
      </c>
      <c r="I588" t="s">
        <v>70</v>
      </c>
      <c r="J588" t="s">
        <v>71</v>
      </c>
      <c r="K588">
        <v>3</v>
      </c>
      <c r="L588">
        <v>85500</v>
      </c>
      <c r="M588">
        <v>62000</v>
      </c>
      <c r="N588">
        <v>0.05</v>
      </c>
      <c r="O588" t="s">
        <v>148</v>
      </c>
      <c r="P588" t="s">
        <v>27</v>
      </c>
    </row>
    <row r="589" spans="1:16" x14ac:dyDescent="0.25">
      <c r="A589" t="s">
        <v>983</v>
      </c>
      <c r="B589" t="s">
        <v>741</v>
      </c>
      <c r="C589" t="s">
        <v>30</v>
      </c>
      <c r="D589" t="s">
        <v>31</v>
      </c>
      <c r="E589" t="s">
        <v>32</v>
      </c>
      <c r="F589" t="s">
        <v>21</v>
      </c>
      <c r="G589" t="s">
        <v>62</v>
      </c>
      <c r="H589" t="s">
        <v>112</v>
      </c>
      <c r="I589" t="s">
        <v>113</v>
      </c>
      <c r="J589" t="s">
        <v>36</v>
      </c>
      <c r="K589">
        <v>5</v>
      </c>
      <c r="L589">
        <v>160000</v>
      </c>
      <c r="M589">
        <v>115000</v>
      </c>
      <c r="N589">
        <v>0.05</v>
      </c>
      <c r="O589" t="s">
        <v>37</v>
      </c>
      <c r="P589" t="s">
        <v>48</v>
      </c>
    </row>
    <row r="590" spans="1:16" x14ac:dyDescent="0.25">
      <c r="A590" t="s">
        <v>984</v>
      </c>
      <c r="B590" t="s">
        <v>223</v>
      </c>
      <c r="C590" t="s">
        <v>30</v>
      </c>
      <c r="D590" t="s">
        <v>31</v>
      </c>
      <c r="E590" t="s">
        <v>32</v>
      </c>
      <c r="F590" t="s">
        <v>21</v>
      </c>
      <c r="G590" t="s">
        <v>33</v>
      </c>
      <c r="H590" t="s">
        <v>23</v>
      </c>
      <c r="I590" t="s">
        <v>35</v>
      </c>
      <c r="J590" t="s">
        <v>36</v>
      </c>
      <c r="K590">
        <v>2</v>
      </c>
      <c r="L590">
        <v>450000</v>
      </c>
      <c r="M590">
        <v>332500</v>
      </c>
      <c r="N590">
        <v>0.05</v>
      </c>
      <c r="O590" t="s">
        <v>90</v>
      </c>
      <c r="P590" t="s">
        <v>48</v>
      </c>
    </row>
    <row r="591" spans="1:16" x14ac:dyDescent="0.25">
      <c r="A591" t="s">
        <v>985</v>
      </c>
      <c r="B591" t="s">
        <v>229</v>
      </c>
      <c r="C591" t="s">
        <v>30</v>
      </c>
      <c r="D591" t="s">
        <v>131</v>
      </c>
      <c r="E591" t="s">
        <v>132</v>
      </c>
      <c r="F591" t="s">
        <v>80</v>
      </c>
      <c r="G591" t="s">
        <v>22</v>
      </c>
      <c r="H591" t="s">
        <v>112</v>
      </c>
      <c r="I591" t="s">
        <v>102</v>
      </c>
      <c r="J591" t="s">
        <v>25</v>
      </c>
      <c r="K591">
        <v>2</v>
      </c>
      <c r="L591">
        <v>37800</v>
      </c>
      <c r="M591">
        <v>24700</v>
      </c>
      <c r="N591">
        <v>0.15</v>
      </c>
      <c r="O591" t="s">
        <v>148</v>
      </c>
      <c r="P591" t="s">
        <v>72</v>
      </c>
    </row>
    <row r="592" spans="1:16" x14ac:dyDescent="0.25">
      <c r="A592" t="s">
        <v>986</v>
      </c>
      <c r="B592" t="s">
        <v>191</v>
      </c>
      <c r="C592" t="s">
        <v>18</v>
      </c>
      <c r="D592" t="s">
        <v>136</v>
      </c>
      <c r="E592" t="s">
        <v>137</v>
      </c>
      <c r="F592" t="s">
        <v>122</v>
      </c>
      <c r="G592" t="s">
        <v>33</v>
      </c>
      <c r="H592" t="s">
        <v>23</v>
      </c>
      <c r="I592" t="s">
        <v>113</v>
      </c>
      <c r="J592" t="s">
        <v>36</v>
      </c>
      <c r="K592">
        <v>5</v>
      </c>
      <c r="L592">
        <v>144000</v>
      </c>
      <c r="M592">
        <v>115000</v>
      </c>
      <c r="N592">
        <v>0.15</v>
      </c>
      <c r="O592" t="s">
        <v>90</v>
      </c>
      <c r="P592" t="s">
        <v>48</v>
      </c>
    </row>
    <row r="593" spans="1:16" x14ac:dyDescent="0.25">
      <c r="A593" t="s">
        <v>987</v>
      </c>
      <c r="B593" t="s">
        <v>629</v>
      </c>
      <c r="C593" t="s">
        <v>18</v>
      </c>
      <c r="D593" t="s">
        <v>19</v>
      </c>
      <c r="E593" t="s">
        <v>20</v>
      </c>
      <c r="F593" t="s">
        <v>21</v>
      </c>
      <c r="G593" t="s">
        <v>22</v>
      </c>
      <c r="H593" t="s">
        <v>34</v>
      </c>
      <c r="I593" t="s">
        <v>45</v>
      </c>
      <c r="J593" t="s">
        <v>46</v>
      </c>
      <c r="K593">
        <v>6</v>
      </c>
      <c r="L593">
        <v>16650</v>
      </c>
      <c r="M593">
        <v>13775</v>
      </c>
      <c r="N593">
        <v>0.05</v>
      </c>
      <c r="O593" t="s">
        <v>26</v>
      </c>
      <c r="P593" t="s">
        <v>133</v>
      </c>
    </row>
    <row r="594" spans="1:16" x14ac:dyDescent="0.25">
      <c r="A594" t="s">
        <v>988</v>
      </c>
      <c r="B594" t="s">
        <v>395</v>
      </c>
      <c r="C594" t="s">
        <v>18</v>
      </c>
      <c r="D594" t="s">
        <v>136</v>
      </c>
      <c r="E594" t="s">
        <v>137</v>
      </c>
      <c r="F594" t="s">
        <v>122</v>
      </c>
      <c r="G594" t="s">
        <v>62</v>
      </c>
      <c r="H594" t="s">
        <v>34</v>
      </c>
      <c r="I594" t="s">
        <v>105</v>
      </c>
      <c r="J594" t="s">
        <v>71</v>
      </c>
      <c r="K594">
        <v>5</v>
      </c>
      <c r="L594">
        <v>175000</v>
      </c>
      <c r="M594">
        <v>114000</v>
      </c>
      <c r="N594">
        <v>0.15</v>
      </c>
      <c r="O594" t="s">
        <v>148</v>
      </c>
      <c r="P594" t="s">
        <v>133</v>
      </c>
    </row>
    <row r="595" spans="1:16" x14ac:dyDescent="0.25">
      <c r="A595" t="s">
        <v>989</v>
      </c>
      <c r="B595" t="s">
        <v>173</v>
      </c>
      <c r="C595" t="s">
        <v>30</v>
      </c>
      <c r="D595" t="s">
        <v>157</v>
      </c>
      <c r="E595" t="s">
        <v>158</v>
      </c>
      <c r="F595" t="s">
        <v>21</v>
      </c>
      <c r="G595" t="s">
        <v>62</v>
      </c>
      <c r="H595" t="s">
        <v>23</v>
      </c>
      <c r="I595" t="s">
        <v>45</v>
      </c>
      <c r="J595" t="s">
        <v>46</v>
      </c>
      <c r="K595">
        <v>2</v>
      </c>
      <c r="L595">
        <v>16650</v>
      </c>
      <c r="M595">
        <v>14500</v>
      </c>
      <c r="N595">
        <v>0</v>
      </c>
      <c r="O595" t="s">
        <v>90</v>
      </c>
      <c r="P595" t="s">
        <v>48</v>
      </c>
    </row>
    <row r="596" spans="1:16" x14ac:dyDescent="0.25">
      <c r="A596" t="s">
        <v>990</v>
      </c>
      <c r="B596" t="s">
        <v>332</v>
      </c>
      <c r="C596" t="s">
        <v>40</v>
      </c>
      <c r="D596" t="s">
        <v>60</v>
      </c>
      <c r="E596" t="s">
        <v>61</v>
      </c>
      <c r="F596" t="s">
        <v>43</v>
      </c>
      <c r="G596" t="s">
        <v>44</v>
      </c>
      <c r="H596" t="s">
        <v>96</v>
      </c>
      <c r="I596" t="s">
        <v>97</v>
      </c>
      <c r="J596" t="s">
        <v>56</v>
      </c>
      <c r="K596">
        <v>10</v>
      </c>
      <c r="L596">
        <v>112500</v>
      </c>
      <c r="M596">
        <v>85000</v>
      </c>
      <c r="N596">
        <v>0</v>
      </c>
      <c r="O596" t="s">
        <v>37</v>
      </c>
      <c r="P596" t="s">
        <v>133</v>
      </c>
    </row>
    <row r="597" spans="1:16" x14ac:dyDescent="0.25">
      <c r="A597" t="s">
        <v>991</v>
      </c>
      <c r="B597" t="s">
        <v>992</v>
      </c>
      <c r="C597" t="s">
        <v>30</v>
      </c>
      <c r="D597" t="s">
        <v>31</v>
      </c>
      <c r="E597" t="s">
        <v>32</v>
      </c>
      <c r="F597" t="s">
        <v>21</v>
      </c>
      <c r="G597" t="s">
        <v>44</v>
      </c>
      <c r="H597" t="s">
        <v>34</v>
      </c>
      <c r="I597" t="s">
        <v>51</v>
      </c>
      <c r="J597" t="s">
        <v>36</v>
      </c>
      <c r="K597">
        <v>1</v>
      </c>
      <c r="L597">
        <v>252000</v>
      </c>
      <c r="M597">
        <v>210000</v>
      </c>
      <c r="N597">
        <v>0.05</v>
      </c>
      <c r="O597" t="s">
        <v>90</v>
      </c>
      <c r="P597" t="s">
        <v>72</v>
      </c>
    </row>
    <row r="598" spans="1:16" x14ac:dyDescent="0.25">
      <c r="A598" t="s">
        <v>993</v>
      </c>
      <c r="B598" t="s">
        <v>205</v>
      </c>
      <c r="C598" t="s">
        <v>18</v>
      </c>
      <c r="D598" t="s">
        <v>41</v>
      </c>
      <c r="E598" t="s">
        <v>42</v>
      </c>
      <c r="F598" t="s">
        <v>43</v>
      </c>
      <c r="G598" t="s">
        <v>44</v>
      </c>
      <c r="H598" t="s">
        <v>112</v>
      </c>
      <c r="I598" t="s">
        <v>24</v>
      </c>
      <c r="J598" t="s">
        <v>25</v>
      </c>
      <c r="K598">
        <v>4</v>
      </c>
      <c r="L598">
        <v>22000</v>
      </c>
      <c r="M598">
        <v>13000</v>
      </c>
      <c r="N598">
        <v>0</v>
      </c>
      <c r="O598" t="s">
        <v>52</v>
      </c>
      <c r="P598" t="s">
        <v>27</v>
      </c>
    </row>
    <row r="599" spans="1:16" x14ac:dyDescent="0.25">
      <c r="A599" t="s">
        <v>994</v>
      </c>
      <c r="B599" t="s">
        <v>223</v>
      </c>
      <c r="C599" t="s">
        <v>18</v>
      </c>
      <c r="D599" t="s">
        <v>41</v>
      </c>
      <c r="E599" t="s">
        <v>42</v>
      </c>
      <c r="F599" t="s">
        <v>43</v>
      </c>
      <c r="G599" t="s">
        <v>62</v>
      </c>
      <c r="H599" t="s">
        <v>23</v>
      </c>
      <c r="I599" t="s">
        <v>24</v>
      </c>
      <c r="J599" t="s">
        <v>25</v>
      </c>
      <c r="K599">
        <v>2</v>
      </c>
      <c r="L599">
        <v>19800</v>
      </c>
      <c r="M599">
        <v>13000</v>
      </c>
      <c r="N599">
        <v>0</v>
      </c>
      <c r="O599" t="s">
        <v>64</v>
      </c>
      <c r="P599" t="s">
        <v>133</v>
      </c>
    </row>
    <row r="600" spans="1:16" x14ac:dyDescent="0.25">
      <c r="A600" t="s">
        <v>995</v>
      </c>
      <c r="B600" t="s">
        <v>959</v>
      </c>
      <c r="C600" t="s">
        <v>30</v>
      </c>
      <c r="D600" t="s">
        <v>120</v>
      </c>
      <c r="E600" t="s">
        <v>121</v>
      </c>
      <c r="F600" t="s">
        <v>122</v>
      </c>
      <c r="G600" t="s">
        <v>33</v>
      </c>
      <c r="H600" t="s">
        <v>112</v>
      </c>
      <c r="I600" t="s">
        <v>97</v>
      </c>
      <c r="J600" t="s">
        <v>56</v>
      </c>
      <c r="K600">
        <v>5</v>
      </c>
      <c r="L600">
        <v>125000</v>
      </c>
      <c r="M600">
        <v>80750</v>
      </c>
      <c r="N600">
        <v>0</v>
      </c>
      <c r="O600" t="s">
        <v>90</v>
      </c>
      <c r="P600" t="s">
        <v>48</v>
      </c>
    </row>
    <row r="601" spans="1:16" x14ac:dyDescent="0.25">
      <c r="A601" t="s">
        <v>996</v>
      </c>
      <c r="B601" t="s">
        <v>152</v>
      </c>
      <c r="C601" t="s">
        <v>40</v>
      </c>
      <c r="D601" t="s">
        <v>120</v>
      </c>
      <c r="E601" t="s">
        <v>121</v>
      </c>
      <c r="F601" t="s">
        <v>122</v>
      </c>
      <c r="G601" t="s">
        <v>62</v>
      </c>
      <c r="H601" t="s">
        <v>23</v>
      </c>
      <c r="I601" t="s">
        <v>75</v>
      </c>
      <c r="J601" t="s">
        <v>36</v>
      </c>
      <c r="K601">
        <v>10</v>
      </c>
      <c r="L601">
        <v>162000</v>
      </c>
      <c r="M601">
        <v>130000</v>
      </c>
      <c r="N601">
        <v>0</v>
      </c>
      <c r="O601" t="s">
        <v>37</v>
      </c>
      <c r="P601" t="s">
        <v>72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Dashboard</vt:lpstr>
      <vt:lpstr>KPIs Summary</vt:lpstr>
      <vt:lpstr>Pivot Tables</vt:lpstr>
      <vt:lpstr>Pivot Charts</vt:lpstr>
      <vt:lpstr>Cleaned Data</vt:lpstr>
      <vt:lpstr>Nigeria Retail Sales 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BALA</cp:lastModifiedBy>
  <dcterms:created xsi:type="dcterms:W3CDTF">2026-10-12T13:02:26Z</dcterms:created>
  <dcterms:modified xsi:type="dcterms:W3CDTF">2026-10-27T00:51:33Z</dcterms:modified>
</cp:coreProperties>
</file>